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randa\EPR502\Aulas 2020\Aula 13 EPR502\Aula virtual\"/>
    </mc:Choice>
  </mc:AlternateContent>
  <bookViews>
    <workbookView xWindow="0" yWindow="0" windowWidth="20490" windowHeight="8145"/>
  </bookViews>
  <sheets>
    <sheet name="SF" sheetId="3" r:id="rId1"/>
    <sheet name="FCIV" sheetId="6" r:id="rId2"/>
    <sheet name="FCV" sheetId="5" r:id="rId3"/>
    <sheet name="Ex" sheetId="4" r:id="rId4"/>
  </sheets>
  <calcPr calcId="152511" concurrentCalc="0" concurrentManualCount="4"/>
</workbook>
</file>

<file path=xl/calcChain.xml><?xml version="1.0" encoding="utf-8"?>
<calcChain xmlns="http://schemas.openxmlformats.org/spreadsheetml/2006/main">
  <c r="K71" i="5" l="1"/>
  <c r="M45" i="5"/>
  <c r="M38" i="5"/>
  <c r="M39" i="5"/>
  <c r="M40" i="5"/>
  <c r="M41" i="5"/>
  <c r="M42" i="5"/>
  <c r="M37" i="5"/>
  <c r="L44" i="5"/>
  <c r="L45" i="5"/>
  <c r="L38" i="5"/>
  <c r="L39" i="5"/>
  <c r="L40" i="5"/>
  <c r="L41" i="5"/>
  <c r="L42" i="5"/>
  <c r="L37" i="5"/>
  <c r="K70" i="5"/>
  <c r="C71" i="5"/>
  <c r="C70" i="5"/>
  <c r="K64" i="5"/>
  <c r="K65" i="5"/>
  <c r="K66" i="5"/>
  <c r="K67" i="5"/>
  <c r="K68" i="5"/>
  <c r="K63" i="5"/>
  <c r="J65" i="5"/>
  <c r="J66" i="5"/>
  <c r="J67" i="5"/>
  <c r="J68" i="5"/>
  <c r="J64" i="5"/>
  <c r="I68" i="5"/>
  <c r="I65" i="5"/>
  <c r="I66" i="5"/>
  <c r="I67" i="5"/>
  <c r="I64" i="5"/>
  <c r="H64" i="5"/>
  <c r="H65" i="5"/>
  <c r="H66" i="5"/>
  <c r="H67" i="5"/>
  <c r="H68" i="5"/>
  <c r="H63" i="5"/>
  <c r="G65" i="5"/>
  <c r="G66" i="5"/>
  <c r="G67" i="5"/>
  <c r="G68" i="5"/>
  <c r="G64" i="5"/>
  <c r="F65" i="5"/>
  <c r="F66" i="5"/>
  <c r="F67" i="5"/>
  <c r="F68" i="5"/>
  <c r="F64" i="5"/>
  <c r="F63" i="5"/>
  <c r="C64" i="5"/>
  <c r="C65" i="5"/>
  <c r="C66" i="5"/>
  <c r="C67" i="5"/>
  <c r="C68" i="5"/>
  <c r="C63" i="5"/>
  <c r="E64" i="5"/>
  <c r="E65" i="5"/>
  <c r="E66" i="5"/>
  <c r="E67" i="5"/>
  <c r="D65" i="5"/>
  <c r="D66" i="5"/>
  <c r="D67" i="5"/>
  <c r="D64" i="5"/>
  <c r="F77" i="5"/>
  <c r="E77" i="5"/>
  <c r="E78" i="5"/>
  <c r="G78" i="5"/>
  <c r="F78" i="5"/>
  <c r="D78" i="5"/>
  <c r="E79" i="5"/>
  <c r="G79" i="5"/>
  <c r="F79" i="5"/>
  <c r="D79" i="5"/>
  <c r="E80" i="5"/>
  <c r="G80" i="5"/>
  <c r="F80" i="5"/>
  <c r="D80" i="5"/>
  <c r="D77" i="5"/>
  <c r="G77" i="5"/>
  <c r="D76" i="5"/>
  <c r="K45" i="5"/>
  <c r="K44" i="5"/>
  <c r="K38" i="5"/>
  <c r="K39" i="5"/>
  <c r="K40" i="5"/>
  <c r="K41" i="5"/>
  <c r="K42" i="5"/>
  <c r="K37" i="5"/>
  <c r="J39" i="5"/>
  <c r="J40" i="5"/>
  <c r="J41" i="5"/>
  <c r="J42" i="5"/>
  <c r="J38" i="5"/>
  <c r="I42" i="5"/>
  <c r="I39" i="5"/>
  <c r="I40" i="5"/>
  <c r="I41" i="5"/>
  <c r="I38" i="5"/>
  <c r="F39" i="5"/>
  <c r="F40" i="5"/>
  <c r="F41" i="5"/>
  <c r="F42" i="5"/>
  <c r="F38" i="5"/>
  <c r="F37" i="5"/>
  <c r="E39" i="5"/>
  <c r="E40" i="5"/>
  <c r="E41" i="5"/>
  <c r="E38" i="5"/>
  <c r="D39" i="5"/>
  <c r="D40" i="5"/>
  <c r="D41" i="5"/>
  <c r="D38" i="5"/>
  <c r="E55" i="5"/>
  <c r="F52" i="5"/>
  <c r="D52" i="5"/>
  <c r="G52" i="5"/>
  <c r="E52" i="5"/>
  <c r="F53" i="5"/>
  <c r="D53" i="5"/>
  <c r="G53" i="5"/>
  <c r="E53" i="5"/>
  <c r="F54" i="5"/>
  <c r="D54" i="5"/>
  <c r="G54" i="5"/>
  <c r="E54" i="5"/>
  <c r="D51" i="5"/>
  <c r="E51" i="5"/>
  <c r="G51" i="5"/>
  <c r="F51" i="5"/>
  <c r="H38" i="5"/>
  <c r="H39" i="5"/>
  <c r="H40" i="5"/>
  <c r="H41" i="5"/>
  <c r="H42" i="5"/>
  <c r="H37" i="5"/>
  <c r="G39" i="5"/>
  <c r="G40" i="5"/>
  <c r="G41" i="5"/>
  <c r="G42" i="5"/>
  <c r="G38" i="5"/>
  <c r="C45" i="5"/>
  <c r="C44" i="5"/>
  <c r="C38" i="5"/>
  <c r="C39" i="5"/>
  <c r="C40" i="5"/>
  <c r="C41" i="5"/>
  <c r="C42" i="5"/>
  <c r="C37" i="5"/>
  <c r="K25" i="5"/>
  <c r="K24" i="5"/>
  <c r="K19" i="5"/>
  <c r="K20" i="5"/>
  <c r="K21" i="5"/>
  <c r="K22" i="5"/>
  <c r="K18" i="5"/>
  <c r="K17" i="5"/>
  <c r="J19" i="5"/>
  <c r="J20" i="5"/>
  <c r="J21" i="5"/>
  <c r="J22" i="5"/>
  <c r="J18" i="5"/>
  <c r="I22" i="5"/>
  <c r="I19" i="5"/>
  <c r="I20" i="5"/>
  <c r="I21" i="5"/>
  <c r="I18" i="5"/>
  <c r="C22" i="5"/>
  <c r="H20" i="5"/>
  <c r="H21" i="5"/>
  <c r="H22" i="5"/>
  <c r="H19" i="5"/>
  <c r="H18" i="5"/>
  <c r="G19" i="5"/>
  <c r="G20" i="5"/>
  <c r="G21" i="5"/>
  <c r="G22" i="5"/>
  <c r="G18" i="5"/>
  <c r="E25" i="5"/>
  <c r="C25" i="5"/>
  <c r="C24" i="5"/>
  <c r="T28" i="6"/>
  <c r="T21" i="6"/>
  <c r="T22" i="6"/>
  <c r="T23" i="6"/>
  <c r="T24" i="6"/>
  <c r="T25" i="6"/>
  <c r="T20" i="6"/>
  <c r="S27" i="6"/>
  <c r="S28" i="6"/>
  <c r="R27" i="6"/>
  <c r="S21" i="6"/>
  <c r="S22" i="6"/>
  <c r="S23" i="6"/>
  <c r="S24" i="6"/>
  <c r="S25" i="6"/>
  <c r="S20" i="6"/>
  <c r="R28" i="6"/>
  <c r="R22" i="6"/>
  <c r="R23" i="6"/>
  <c r="R24" i="6"/>
  <c r="R25" i="6"/>
  <c r="R21" i="6"/>
  <c r="R20" i="6"/>
  <c r="Q22" i="6"/>
  <c r="Q23" i="6"/>
  <c r="Q24" i="6"/>
  <c r="Q25" i="6"/>
  <c r="Q21" i="6"/>
  <c r="P25" i="6"/>
  <c r="P22" i="6"/>
  <c r="P23" i="6"/>
  <c r="P24" i="6"/>
  <c r="P21" i="6"/>
  <c r="M22" i="6"/>
  <c r="M23" i="6"/>
  <c r="M24" i="6"/>
  <c r="M25" i="6"/>
  <c r="M21" i="6"/>
  <c r="M20" i="6"/>
  <c r="L22" i="6"/>
  <c r="L23" i="6"/>
  <c r="L24" i="6"/>
  <c r="L25" i="6"/>
  <c r="L21" i="6"/>
  <c r="K24" i="6"/>
  <c r="K22" i="6"/>
  <c r="K23" i="6"/>
  <c r="K25" i="6"/>
  <c r="K21" i="6"/>
  <c r="K38" i="6"/>
  <c r="L34" i="6"/>
  <c r="J34" i="6"/>
  <c r="M34" i="6"/>
  <c r="K34" i="6"/>
  <c r="L35" i="6"/>
  <c r="J35" i="6"/>
  <c r="M35" i="6"/>
  <c r="K35" i="6"/>
  <c r="L36" i="6"/>
  <c r="J36" i="6"/>
  <c r="M36" i="6"/>
  <c r="K36" i="6"/>
  <c r="L37" i="6"/>
  <c r="J37" i="6"/>
  <c r="M37" i="6"/>
  <c r="K37" i="6"/>
  <c r="J33" i="6"/>
  <c r="K33" i="6"/>
  <c r="M33" i="6"/>
  <c r="L33" i="6"/>
  <c r="J28" i="6"/>
  <c r="O21" i="6"/>
  <c r="O22" i="6"/>
  <c r="O23" i="6"/>
  <c r="O24" i="6"/>
  <c r="O25" i="6"/>
  <c r="O20" i="6"/>
  <c r="N22" i="6"/>
  <c r="N23" i="6"/>
  <c r="N24" i="6"/>
  <c r="N25" i="6"/>
  <c r="N21" i="6"/>
  <c r="J21" i="6"/>
  <c r="J22" i="6"/>
  <c r="J23" i="6"/>
  <c r="J24" i="6"/>
  <c r="J25" i="6"/>
  <c r="J20" i="6"/>
  <c r="R13" i="6"/>
  <c r="R12" i="6"/>
  <c r="R7" i="6"/>
  <c r="R8" i="6"/>
  <c r="R9" i="6"/>
  <c r="R10" i="6"/>
  <c r="R6" i="6"/>
  <c r="R5" i="6"/>
  <c r="Q7" i="6"/>
  <c r="Q8" i="6"/>
  <c r="Q9" i="6"/>
  <c r="Q10" i="6"/>
  <c r="Q6" i="6"/>
  <c r="P10" i="6"/>
  <c r="P7" i="6"/>
  <c r="P8" i="6"/>
  <c r="P9" i="6"/>
  <c r="P6" i="6"/>
  <c r="O7" i="6"/>
  <c r="O8" i="6"/>
  <c r="O9" i="6"/>
  <c r="O10" i="6"/>
  <c r="O6" i="6"/>
  <c r="N7" i="6"/>
  <c r="N8" i="6"/>
  <c r="N9" i="6"/>
  <c r="N10" i="6"/>
  <c r="N6" i="6"/>
  <c r="L13" i="6"/>
  <c r="J13" i="6"/>
  <c r="J12" i="6"/>
  <c r="N60" i="3"/>
  <c r="O60" i="3"/>
  <c r="M60" i="3"/>
  <c r="N57" i="3"/>
  <c r="L57" i="3"/>
  <c r="O57" i="3"/>
  <c r="M57" i="3"/>
  <c r="N58" i="3"/>
  <c r="L58" i="3"/>
  <c r="O58" i="3"/>
  <c r="M58" i="3"/>
  <c r="N59" i="3"/>
  <c r="L59" i="3"/>
  <c r="O59" i="3"/>
  <c r="M59" i="3"/>
  <c r="L56" i="3"/>
  <c r="M56" i="3"/>
  <c r="O56" i="3"/>
  <c r="N56" i="3"/>
  <c r="L55" i="3"/>
  <c r="M55" i="3"/>
  <c r="L54" i="3"/>
  <c r="M54" i="3"/>
  <c r="O44" i="3"/>
  <c r="N44" i="3"/>
  <c r="M44" i="3"/>
  <c r="N41" i="3"/>
  <c r="L41" i="3"/>
  <c r="O41" i="3"/>
  <c r="M41" i="3"/>
  <c r="N42" i="3"/>
  <c r="L42" i="3"/>
  <c r="O42" i="3"/>
  <c r="M42" i="3"/>
  <c r="N43" i="3"/>
  <c r="L43" i="3"/>
  <c r="O43" i="3"/>
  <c r="M43" i="3"/>
  <c r="L40" i="3"/>
  <c r="M40" i="3"/>
  <c r="O40" i="3"/>
  <c r="N40" i="3"/>
  <c r="L39" i="3"/>
  <c r="M39" i="3"/>
  <c r="O39" i="3"/>
  <c r="L38" i="3"/>
  <c r="M38" i="3"/>
  <c r="O38" i="3"/>
  <c r="N23" i="3"/>
  <c r="O23" i="3"/>
  <c r="M23" i="3"/>
  <c r="N20" i="3"/>
  <c r="L20" i="3"/>
  <c r="O20" i="3"/>
  <c r="M20" i="3"/>
  <c r="N21" i="3"/>
  <c r="L21" i="3"/>
  <c r="O21" i="3"/>
  <c r="M21" i="3"/>
  <c r="N22" i="3"/>
  <c r="L22" i="3"/>
  <c r="O22" i="3"/>
  <c r="M22" i="3"/>
  <c r="L19" i="3"/>
  <c r="M19" i="3"/>
  <c r="O19" i="3"/>
  <c r="N19" i="3"/>
  <c r="N10" i="3"/>
  <c r="O10" i="3"/>
  <c r="M10" i="3"/>
  <c r="M7" i="3"/>
  <c r="O7" i="3"/>
  <c r="N7" i="3"/>
  <c r="L7" i="3"/>
  <c r="M8" i="3"/>
  <c r="O8" i="3"/>
  <c r="N8" i="3"/>
  <c r="L8" i="3"/>
  <c r="M9" i="3"/>
  <c r="O9" i="3"/>
  <c r="N9" i="3"/>
  <c r="L9" i="3"/>
  <c r="N6" i="3"/>
  <c r="L6" i="3"/>
  <c r="O6" i="3"/>
  <c r="M6" i="3"/>
  <c r="L26" i="3"/>
</calcChain>
</file>

<file path=xl/sharedStrings.xml><?xml version="1.0" encoding="utf-8"?>
<sst xmlns="http://schemas.openxmlformats.org/spreadsheetml/2006/main" count="153" uniqueCount="37">
  <si>
    <t>Saldo devedor</t>
  </si>
  <si>
    <t>Prestação</t>
  </si>
  <si>
    <t>Juros</t>
  </si>
  <si>
    <t>Amortização</t>
  </si>
  <si>
    <t>Período</t>
  </si>
  <si>
    <t>Sistema Price</t>
  </si>
  <si>
    <t>i =</t>
  </si>
  <si>
    <t>n =</t>
  </si>
  <si>
    <t>Sistema SAC</t>
  </si>
  <si>
    <t>am</t>
  </si>
  <si>
    <t>meses</t>
  </si>
  <si>
    <t>Ano</t>
  </si>
  <si>
    <t>FCAIR</t>
  </si>
  <si>
    <t>FC após divida</t>
  </si>
  <si>
    <t>Dep</t>
  </si>
  <si>
    <t>VC</t>
  </si>
  <si>
    <t>LT</t>
  </si>
  <si>
    <t>IR</t>
  </si>
  <si>
    <t>FCdIR</t>
  </si>
  <si>
    <t>VPL</t>
  </si>
  <si>
    <t>TIR</t>
  </si>
  <si>
    <t>SAC</t>
  </si>
  <si>
    <t>aa</t>
  </si>
  <si>
    <t>PRICE</t>
  </si>
  <si>
    <t>TMA =</t>
  </si>
  <si>
    <t>FINANCIAMENTO</t>
  </si>
  <si>
    <t>CAPITAL PRÓPRIO</t>
  </si>
  <si>
    <t>Sistema SAC com carência de 2 meses</t>
  </si>
  <si>
    <t>SD</t>
  </si>
  <si>
    <t>d =</t>
  </si>
  <si>
    <t>N=</t>
  </si>
  <si>
    <t>anos</t>
  </si>
  <si>
    <t>Sem Financiamento</t>
  </si>
  <si>
    <t>Com Financiamento</t>
  </si>
  <si>
    <t>d=</t>
  </si>
  <si>
    <t>Sem financiamento</t>
  </si>
  <si>
    <t>FCINC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</si>
</sst>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2" borderId="0" xfId="0" applyFont="1" applyFill="1"/>
    <xf numFmtId="8" fontId="2" fillId="2" borderId="1" xfId="1" applyNumberFormat="1" applyFont="1" applyFill="1" applyBorder="1" applyAlignment="1">
      <alignment horizontal="center"/>
    </xf>
    <xf numFmtId="9" fontId="2" fillId="2" borderId="0" xfId="2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44" fontId="4" fillId="2" borderId="0" xfId="1" applyFont="1" applyFill="1"/>
    <xf numFmtId="9" fontId="4" fillId="2" borderId="0" xfId="0" applyNumberFormat="1" applyFont="1" applyFill="1"/>
    <xf numFmtId="8" fontId="4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indent="5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 indent="5"/>
    </xf>
    <xf numFmtId="0" fontId="2" fillId="2" borderId="1" xfId="0" applyFont="1" applyFill="1" applyBorder="1"/>
    <xf numFmtId="9" fontId="2" fillId="2" borderId="0" xfId="0" applyNumberFormat="1" applyFont="1" applyFill="1" applyAlignment="1">
      <alignment horizontal="center"/>
    </xf>
    <xf numFmtId="44" fontId="2" fillId="2" borderId="1" xfId="0" applyNumberFormat="1" applyFont="1" applyFill="1" applyBorder="1"/>
    <xf numFmtId="10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2" borderId="0" xfId="0" applyFont="1" applyFill="1" applyBorder="1"/>
    <xf numFmtId="44" fontId="2" fillId="2" borderId="0" xfId="0" applyNumberFormat="1" applyFont="1" applyFill="1" applyBorder="1"/>
    <xf numFmtId="9" fontId="2" fillId="2" borderId="0" xfId="0" applyNumberFormat="1" applyFont="1" applyFill="1" applyBorder="1"/>
    <xf numFmtId="0" fontId="0" fillId="2" borderId="0" xfId="0" applyFill="1" applyBorder="1"/>
    <xf numFmtId="0" fontId="3" fillId="2" borderId="0" xfId="0" applyFont="1" applyFill="1"/>
    <xf numFmtId="44" fontId="2" fillId="2" borderId="0" xfId="1" applyFont="1" applyFill="1" applyAlignment="1">
      <alignment horizontal="right"/>
    </xf>
    <xf numFmtId="44" fontId="2" fillId="3" borderId="1" xfId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8" fontId="2" fillId="0" borderId="1" xfId="1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4" fontId="2" fillId="2" borderId="1" xfId="1" applyNumberFormat="1" applyFont="1" applyFill="1" applyBorder="1" applyAlignment="1">
      <alignment horizontal="center"/>
    </xf>
    <xf numFmtId="44" fontId="7" fillId="2" borderId="1" xfId="1" applyFont="1" applyFill="1" applyBorder="1" applyAlignment="1">
      <alignment horizontal="center"/>
    </xf>
    <xf numFmtId="8" fontId="3" fillId="2" borderId="0" xfId="0" applyNumberFormat="1" applyFont="1" applyFill="1" applyAlignment="1">
      <alignment horizontal="center"/>
    </xf>
    <xf numFmtId="44" fontId="2" fillId="2" borderId="0" xfId="0" applyNumberFormat="1" applyFont="1" applyFill="1"/>
    <xf numFmtId="10" fontId="2" fillId="2" borderId="0" xfId="0" applyNumberFormat="1" applyFont="1" applyFill="1" applyBorder="1" applyAlignment="1">
      <alignment horizontal="center"/>
    </xf>
    <xf numFmtId="164" fontId="7" fillId="2" borderId="0" xfId="0" applyNumberFormat="1" applyFont="1" applyFill="1"/>
    <xf numFmtId="4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/>
    <xf numFmtId="44" fontId="8" fillId="2" borderId="1" xfId="1" applyFont="1" applyFill="1" applyBorder="1" applyAlignment="1">
      <alignment horizontal="center"/>
    </xf>
    <xf numFmtId="0" fontId="9" fillId="2" borderId="0" xfId="0" applyFont="1" applyFill="1"/>
    <xf numFmtId="8" fontId="8" fillId="2" borderId="1" xfId="0" applyNumberFormat="1" applyFont="1" applyFill="1" applyBorder="1"/>
    <xf numFmtId="10" fontId="8" fillId="2" borderId="1" xfId="2" applyNumberFormat="1" applyFont="1" applyFill="1" applyBorder="1"/>
    <xf numFmtId="44" fontId="8" fillId="3" borderId="1" xfId="1" applyFont="1" applyFill="1" applyBorder="1" applyAlignment="1">
      <alignment horizontal="center"/>
    </xf>
    <xf numFmtId="8" fontId="8" fillId="2" borderId="1" xfId="1" applyNumberFormat="1" applyFont="1" applyFill="1" applyBorder="1" applyAlignment="1">
      <alignment horizontal="center"/>
    </xf>
    <xf numFmtId="44" fontId="8" fillId="2" borderId="1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9" fontId="2" fillId="3" borderId="0" xfId="2" applyFont="1" applyFill="1" applyAlignment="1">
      <alignment horizontal="center"/>
    </xf>
    <xf numFmtId="44" fontId="2" fillId="4" borderId="1" xfId="1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  <xf numFmtId="44" fontId="2" fillId="3" borderId="0" xfId="1" applyFont="1" applyFill="1"/>
    <xf numFmtId="0" fontId="2" fillId="3" borderId="0" xfId="0" applyFont="1" applyFill="1" applyAlignment="1">
      <alignment horizontal="center"/>
    </xf>
    <xf numFmtId="44" fontId="2" fillId="5" borderId="1" xfId="0" applyNumberFormat="1" applyFont="1" applyFill="1" applyBorder="1"/>
    <xf numFmtId="164" fontId="8" fillId="2" borderId="0" xfId="0" applyNumberFormat="1" applyFont="1" applyFill="1"/>
    <xf numFmtId="10" fontId="2" fillId="5" borderId="1" xfId="0" applyNumberFormat="1" applyFont="1" applyFill="1" applyBorder="1"/>
    <xf numFmtId="0" fontId="3" fillId="5" borderId="0" xfId="0" applyFont="1" applyFill="1"/>
    <xf numFmtId="9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8" fontId="2" fillId="5" borderId="1" xfId="0" applyNumberFormat="1" applyFont="1" applyFill="1" applyBorder="1"/>
    <xf numFmtId="10" fontId="2" fillId="0" borderId="1" xfId="0" applyNumberFormat="1" applyFont="1" applyFill="1" applyBorder="1"/>
    <xf numFmtId="0" fontId="2" fillId="2" borderId="0" xfId="0" applyFont="1" applyFill="1" applyAlignment="1">
      <alignment horizontal="center"/>
    </xf>
    <xf numFmtId="8" fontId="3" fillId="3" borderId="0" xfId="0" applyNumberFormat="1" applyFont="1" applyFill="1"/>
    <xf numFmtId="8" fontId="3" fillId="2" borderId="0" xfId="0" applyNumberFormat="1" applyFont="1" applyFill="1"/>
    <xf numFmtId="8" fontId="3" fillId="3" borderId="0" xfId="0" applyNumberFormat="1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433917</xdr:colOff>
      <xdr:row>22</xdr:row>
      <xdr:rowOff>23850</xdr:rowOff>
    </xdr:to>
    <xdr:sp macro="" textlink="">
      <xdr:nvSpPr>
        <xdr:cNvPr id="2" name="Rectangle 3" descr="350176e9-84d0-44d1-872e-cf2dc9bfb485"/>
        <xdr:cNvSpPr>
          <a:spLocks noGrp="1" noChangeArrowheads="1"/>
        </xdr:cNvSpPr>
      </xdr:nvSpPr>
      <xdr:spPr bwMode="auto">
        <a:xfrm>
          <a:off x="0" y="0"/>
          <a:ext cx="5958417" cy="51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20000"/>
            </a:lnSpc>
          </a:pPr>
          <a:r>
            <a:rPr lang="pt-BR" altLang="pt-BR"/>
            <a:t>Exemplo I:</a:t>
          </a:r>
        </a:p>
        <a:p>
          <a:pPr lvl="1">
            <a:lnSpc>
              <a:spcPct val="120000"/>
            </a:lnSpc>
          </a:pPr>
          <a:r>
            <a:rPr lang="pt-BR" altLang="pt-BR"/>
            <a:t>Montar o quadro de amortização para um financiamento de R$10.000,00, a juros de 3% am, com prazo de 4 meses, amortizável pelo sistema Price em 4 prestações mensais.</a:t>
          </a:r>
        </a:p>
        <a:p>
          <a:pPr marL="457200" lvl="1" indent="0">
            <a:lnSpc>
              <a:spcPct val="120000"/>
            </a:lnSpc>
            <a:buNone/>
          </a:pPr>
          <a:endParaRPr lang="pt-BR" altLang="pt-BR"/>
        </a:p>
      </xdr:txBody>
    </xdr:sp>
    <xdr:clientData/>
  </xdr:twoCellAnchor>
  <xdr:twoCellAnchor>
    <xdr:from>
      <xdr:col>0</xdr:col>
      <xdr:colOff>19050</xdr:colOff>
      <xdr:row>14</xdr:row>
      <xdr:rowOff>95250</xdr:rowOff>
    </xdr:from>
    <xdr:to>
      <xdr:col>9</xdr:col>
      <xdr:colOff>581025</xdr:colOff>
      <xdr:row>39</xdr:row>
      <xdr:rowOff>119100</xdr:rowOff>
    </xdr:to>
    <xdr:sp macro="" textlink="">
      <xdr:nvSpPr>
        <xdr:cNvPr id="3" name="Rectangle 3" descr="2f8310ff-8629-452a-9e54-534deae2c7bf"/>
        <xdr:cNvSpPr>
          <a:spLocks noGrp="1" noChangeArrowheads="1"/>
        </xdr:cNvSpPr>
      </xdr:nvSpPr>
      <xdr:spPr bwMode="auto">
        <a:xfrm>
          <a:off x="19050" y="4286250"/>
          <a:ext cx="5438775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20000"/>
            </a:lnSpc>
          </a:pPr>
          <a:r>
            <a:rPr lang="pt-BR" altLang="pt-BR"/>
            <a:t>Exemplo II:</a:t>
          </a:r>
        </a:p>
        <a:p>
          <a:pPr lvl="1">
            <a:lnSpc>
              <a:spcPct val="120000"/>
            </a:lnSpc>
          </a:pPr>
          <a:r>
            <a:rPr lang="pt-BR" altLang="pt-BR"/>
            <a:t>Montar o quadro de amortização para um financiamento de R$10.000,00, a juros de 3% am, com prazo de 4 meses, amortizável pelo sistema SAC em 4 prestações mensais.</a:t>
          </a:r>
        </a:p>
        <a:p>
          <a:pPr lvl="1">
            <a:lnSpc>
              <a:spcPct val="120000"/>
            </a:lnSpc>
          </a:pPr>
          <a:endParaRPr lang="pt-BR" altLang="pt-BR"/>
        </a:p>
      </xdr:txBody>
    </xdr:sp>
    <xdr:clientData/>
  </xdr:twoCellAnchor>
  <xdr:twoCellAnchor>
    <xdr:from>
      <xdr:col>0</xdr:col>
      <xdr:colOff>19050</xdr:colOff>
      <xdr:row>30</xdr:row>
      <xdr:rowOff>180975</xdr:rowOff>
    </xdr:from>
    <xdr:to>
      <xdr:col>9</xdr:col>
      <xdr:colOff>476250</xdr:colOff>
      <xdr:row>56</xdr:row>
      <xdr:rowOff>14325</xdr:rowOff>
    </xdr:to>
    <xdr:sp macro="" textlink="">
      <xdr:nvSpPr>
        <xdr:cNvPr id="4" name="Rectangle 3" descr="bb714d06-5494-4d0b-9dc4-147928dfb1d6"/>
        <xdr:cNvSpPr>
          <a:spLocks noGrp="1" noChangeArrowheads="1"/>
        </xdr:cNvSpPr>
      </xdr:nvSpPr>
      <xdr:spPr bwMode="auto">
        <a:xfrm>
          <a:off x="19050" y="6943725"/>
          <a:ext cx="5334000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20000"/>
            </a:lnSpc>
          </a:pPr>
          <a:r>
            <a:rPr lang="pt-BR" altLang="pt-BR"/>
            <a:t>Exemplo III:</a:t>
          </a:r>
        </a:p>
        <a:p>
          <a:pPr>
            <a:lnSpc>
              <a:spcPct val="120000"/>
            </a:lnSpc>
          </a:pPr>
          <a:r>
            <a:rPr lang="pt-BR" sz="240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Montar o quadro de amortização para um financiamento de R$10.000,00, a juros de 3% a.m, com prazo de 6 meses, amortizável pelo sistema SAC em 4 prestações mensais, considerando 2 meses de carência.</a:t>
          </a:r>
          <a:endParaRPr lang="pt-BR" sz="2400">
            <a:effectLst/>
          </a:endParaRPr>
        </a:p>
        <a:p>
          <a:pPr marL="457200" lvl="1" indent="0">
            <a:lnSpc>
              <a:spcPct val="120000"/>
            </a:lnSpc>
            <a:buNone/>
          </a:pPr>
          <a:endParaRPr lang="pt-BR" alt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557213</xdr:colOff>
      <xdr:row>15</xdr:row>
      <xdr:rowOff>34925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12" t="5930" r="14987" b="5138"/>
        <a:stretch>
          <a:fillRect/>
        </a:stretch>
      </xdr:blipFill>
      <xdr:spPr bwMode="auto">
        <a:xfrm>
          <a:off x="0" y="0"/>
          <a:ext cx="4214813" cy="341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76200">
              <a:solidFill>
                <a:srgbClr val="000000"/>
              </a:solidFill>
              <a:miter lim="800000"/>
              <a:headEnd type="none" w="sm" len="sm"/>
              <a:tailEnd type="none" w="sm" len="sm"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38100</xdr:rowOff>
    </xdr:from>
    <xdr:to>
      <xdr:col>11</xdr:col>
      <xdr:colOff>66676</xdr:colOff>
      <xdr:row>12</xdr:row>
      <xdr:rowOff>95250</xdr:rowOff>
    </xdr:to>
    <xdr:sp macro="" textlink="">
      <xdr:nvSpPr>
        <xdr:cNvPr id="2" name="Rectangle 3" descr="245cd9a7-e6c5-4147-ad10-f17a1032379b"/>
        <xdr:cNvSpPr>
          <a:spLocks noGrp="1" noChangeArrowheads="1"/>
        </xdr:cNvSpPr>
      </xdr:nvSpPr>
      <xdr:spPr bwMode="auto">
        <a:xfrm>
          <a:off x="1" y="38100"/>
          <a:ext cx="11677650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20000"/>
            </a:lnSpc>
          </a:pPr>
          <a:r>
            <a:rPr lang="pt-BR" altLang="pt-BR"/>
            <a:t>Exemplo IV:</a:t>
          </a:r>
        </a:p>
        <a:p>
          <a:pPr rtl="0" eaLnBrk="0" fontAlgn="base" hangingPunct="0"/>
          <a:r>
            <a:rPr lang="pt-BR" sz="200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Uma empresa fará um investimento em um equipamento. O investimento tem um custo de R$ 10.000,00 e trará receitas de R$ 3.000,00 durante 5 anos, com um valor residual de R$ 4.000,00 reais. Determine o VPL do projeto considerando o custo do capital próprio de 10% aa. Posteriormente, calcule o VPL considerando uma taxa de IR de 35% e uma taxa de depreciação de 10% aa (Método linear).</a:t>
          </a:r>
          <a:endParaRPr lang="pt-BR" sz="2000">
            <a:effectLst/>
          </a:endParaRPr>
        </a:p>
      </xdr:txBody>
    </xdr:sp>
    <xdr:clientData/>
  </xdr:twoCellAnchor>
  <xdr:twoCellAnchor>
    <xdr:from>
      <xdr:col>0</xdr:col>
      <xdr:colOff>0</xdr:colOff>
      <xdr:row>27</xdr:row>
      <xdr:rowOff>95251</xdr:rowOff>
    </xdr:from>
    <xdr:to>
      <xdr:col>11</xdr:col>
      <xdr:colOff>0</xdr:colOff>
      <xdr:row>31</xdr:row>
      <xdr:rowOff>161925</xdr:rowOff>
    </xdr:to>
    <xdr:sp macro="" textlink="">
      <xdr:nvSpPr>
        <xdr:cNvPr id="3" name="Rectangle 3" descr="06855c60-5e01-48ab-875e-2d278f33be18"/>
        <xdr:cNvSpPr>
          <a:spLocks noGrp="1" noChangeArrowheads="1"/>
        </xdr:cNvSpPr>
      </xdr:nvSpPr>
      <xdr:spPr bwMode="auto">
        <a:xfrm>
          <a:off x="0" y="5715001"/>
          <a:ext cx="11610975" cy="1114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 lvl="1">
            <a:lnSpc>
              <a:spcPct val="120000"/>
            </a:lnSpc>
          </a:pPr>
          <a:r>
            <a:rPr lang="pt-BR" altLang="pt-BR" sz="2000"/>
            <a:t>Suponha que o capital empregado na compra da máquina (R$ 10.000,00) fosse financiado pelo sistema SAC em 4 prestações com juros anuais de 15%. Pergunta-se: é viável financiar ou não o equipamento?</a:t>
          </a:r>
        </a:p>
      </xdr:txBody>
    </xdr:sp>
    <xdr:clientData/>
  </xdr:twoCellAnchor>
  <xdr:twoCellAnchor>
    <xdr:from>
      <xdr:col>0</xdr:col>
      <xdr:colOff>0</xdr:colOff>
      <xdr:row>55</xdr:row>
      <xdr:rowOff>161926</xdr:rowOff>
    </xdr:from>
    <xdr:to>
      <xdr:col>14</xdr:col>
      <xdr:colOff>60404</xdr:colOff>
      <xdr:row>58</xdr:row>
      <xdr:rowOff>95250</xdr:rowOff>
    </xdr:to>
    <xdr:sp macro="" textlink="">
      <xdr:nvSpPr>
        <xdr:cNvPr id="4" name="Rectangle 3" descr="99649be0-effa-4685-bc60-e3d2208f64a5"/>
        <xdr:cNvSpPr>
          <a:spLocks noGrp="1" noChangeArrowheads="1"/>
        </xdr:cNvSpPr>
      </xdr:nvSpPr>
      <xdr:spPr bwMode="auto">
        <a:xfrm>
          <a:off x="0" y="11734801"/>
          <a:ext cx="13500179" cy="504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 lvl="1">
            <a:lnSpc>
              <a:spcPct val="120000"/>
            </a:lnSpc>
          </a:pPr>
          <a:r>
            <a:rPr lang="pt-BR" altLang="pt-BR" sz="2000"/>
            <a:t>Se o sistema utilizado fosse o PRICE, o VPL do projeto seria maior, menor ou igual?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114300</xdr:rowOff>
    </xdr:from>
    <xdr:to>
      <xdr:col>11</xdr:col>
      <xdr:colOff>42334</xdr:colOff>
      <xdr:row>28</xdr:row>
      <xdr:rowOff>138150</xdr:rowOff>
    </xdr:to>
    <xdr:sp macro="" textlink="">
      <xdr:nvSpPr>
        <xdr:cNvPr id="2" name="Rectangle 3" descr="38496cc2-4d24-403d-9927-e034ff1b5f70"/>
        <xdr:cNvSpPr>
          <a:spLocks noGrp="1" noChangeArrowheads="1"/>
        </xdr:cNvSpPr>
      </xdr:nvSpPr>
      <xdr:spPr bwMode="auto">
        <a:xfrm>
          <a:off x="1" y="114300"/>
          <a:ext cx="6794500" cy="535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 xmlns:r="http://schemas.openxmlformats.org/officeDocument/2006/relationships" r:embed="rId1"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>
            <a:lnSpc>
              <a:spcPct val="120000"/>
            </a:lnSpc>
          </a:pPr>
          <a:r>
            <a:rPr lang="pt-BR" altLang="pt-BR"/>
            <a:t>Exemplos:</a:t>
          </a:r>
        </a:p>
        <a:p>
          <a:pPr lvl="1">
            <a:lnSpc>
              <a:spcPct val="120000"/>
            </a:lnSpc>
          </a:pPr>
          <a:r>
            <a:rPr lang="pt-BR" sz="1600"/>
            <a:t>Uma geladeira é vendida, pelo pagamento à vista, por R$ 1 200,00. Caso o consumidor queira parcelar o eletrodoméstico, será cobrada uma taxa de juros no valor de 2% ao mês. Considerando que uma pessoa comprou a geladeira em 12 prestações iguais, calcule o valor das parcelas utilizando o sistema Price.</a:t>
          </a:r>
        </a:p>
        <a:p>
          <a:pPr lvl="1">
            <a:lnSpc>
              <a:spcPct val="120000"/>
            </a:lnSpc>
          </a:pPr>
          <a:endParaRPr lang="pt-BR" altLang="pt-BR" sz="1600"/>
        </a:p>
        <a:p>
          <a:pPr lvl="1">
            <a:lnSpc>
              <a:spcPct val="120000"/>
            </a:lnSpc>
          </a:pPr>
          <a:r>
            <a:rPr lang="pt-BR" sz="1600"/>
            <a:t>Um crédito no valor de R$ 80.000,00 foi liberado para a compra de uma casa. Considerando a taxa de juros de 0,5% ao mês, e prazo para pagamento de 15 anos, determine o valor da prestação mensal desse financiamento utilizando o sistema Price.</a:t>
          </a:r>
        </a:p>
        <a:p>
          <a:pPr lvl="1">
            <a:lnSpc>
              <a:spcPct val="120000"/>
            </a:lnSpc>
          </a:pPr>
          <a:endParaRPr lang="pt-BR" sz="1600"/>
        </a:p>
        <a:p>
          <a:pPr lvl="1">
            <a:lnSpc>
              <a:spcPct val="120000"/>
            </a:lnSpc>
          </a:pPr>
          <a:r>
            <a:rPr lang="pt-BR" sz="1600"/>
            <a:t>Um determinado valor foi financiado, sabemos que o valor de cada prestação corresponde a R$ 1.035,62, que serão pagas durante 24 meses. O financiamento foi efetuado de acordo com o sistema Price, utilizando taxa de juros mensal de 1%. Com base nessas informações, calcule o valor financiado. </a:t>
          </a:r>
        </a:p>
        <a:p>
          <a:pPr lvl="1">
            <a:lnSpc>
              <a:spcPct val="120000"/>
            </a:lnSpc>
          </a:pPr>
          <a:endParaRPr lang="pt-BR" sz="1600"/>
        </a:p>
        <a:p>
          <a:pPr lvl="1">
            <a:lnSpc>
              <a:spcPct val="120000"/>
            </a:lnSpc>
          </a:pPr>
          <a:r>
            <a:rPr lang="pt-BR" sz="1600"/>
            <a:t>Uma opção de financiamento de casas ou apartamentos consiste no cálculo da prestação mensal fixa, utilizando o sistema Price. Calcule o valor de uma prestação do financiamento de R$ 100.000,00 a uma taxa mensal de 0,99%, durante 240 meses. </a:t>
          </a:r>
          <a:endParaRPr lang="pt-BR" altLang="pt-B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3:P62"/>
  <sheetViews>
    <sheetView tabSelected="1" zoomScale="110" zoomScaleNormal="110" zoomScaleSheetLayoutView="80" workbookViewId="0">
      <selection activeCell="R47" sqref="R47"/>
    </sheetView>
  </sheetViews>
  <sheetFormatPr defaultColWidth="9.140625" defaultRowHeight="15" x14ac:dyDescent="0.25"/>
  <cols>
    <col min="1" max="9" width="9.140625" style="1"/>
    <col min="10" max="10" width="8.85546875" style="1" customWidth="1"/>
    <col min="11" max="11" width="22.5703125" style="1" customWidth="1"/>
    <col min="12" max="12" width="19" style="1" customWidth="1"/>
    <col min="13" max="13" width="16.7109375" style="1" customWidth="1"/>
    <col min="14" max="14" width="17.42578125" style="1" customWidth="1"/>
    <col min="15" max="15" width="15" style="1" bestFit="1" customWidth="1"/>
    <col min="16" max="16384" width="9.140625" style="1"/>
  </cols>
  <sheetData>
    <row r="3" spans="11:15" ht="18.75" x14ac:dyDescent="0.3">
      <c r="K3" s="5" t="s">
        <v>5</v>
      </c>
      <c r="L3" s="10"/>
      <c r="M3" s="10"/>
      <c r="N3" s="10"/>
      <c r="O3" s="10"/>
    </row>
    <row r="4" spans="11:15" ht="18.75" x14ac:dyDescent="0.3">
      <c r="K4" s="3" t="s">
        <v>4</v>
      </c>
      <c r="L4" s="3" t="s">
        <v>0</v>
      </c>
      <c r="M4" s="3" t="s">
        <v>1</v>
      </c>
      <c r="N4" s="3" t="s">
        <v>3</v>
      </c>
      <c r="O4" s="3" t="s">
        <v>2</v>
      </c>
    </row>
    <row r="5" spans="11:15" ht="18.75" x14ac:dyDescent="0.3">
      <c r="K5" s="3">
        <v>0</v>
      </c>
      <c r="L5" s="33">
        <v>10000</v>
      </c>
      <c r="M5" s="33"/>
      <c r="N5" s="4"/>
      <c r="O5" s="4"/>
    </row>
    <row r="6" spans="11:15" ht="18.75" x14ac:dyDescent="0.3">
      <c r="K6" s="3">
        <v>1</v>
      </c>
      <c r="L6" s="33">
        <f>L5-N6</f>
        <v>7609.7295480691755</v>
      </c>
      <c r="M6" s="34">
        <f>-PMT($L$11,4,$L$5)</f>
        <v>2690.270451930824</v>
      </c>
      <c r="N6" s="6">
        <f>M6-O6</f>
        <v>2390.270451930824</v>
      </c>
      <c r="O6" s="4">
        <f>$L$11*L5</f>
        <v>300</v>
      </c>
    </row>
    <row r="7" spans="11:15" ht="18.75" x14ac:dyDescent="0.3">
      <c r="K7" s="3">
        <v>2</v>
      </c>
      <c r="L7" s="33">
        <f t="shared" ref="L7:L9" si="0">L6-N7</f>
        <v>5147.7509825804264</v>
      </c>
      <c r="M7" s="34">
        <f t="shared" ref="M7:M9" si="1">-PMT($L$11,4,$L$5)</f>
        <v>2690.270451930824</v>
      </c>
      <c r="N7" s="6">
        <f t="shared" ref="N7:N9" si="2">M7-O7</f>
        <v>2461.9785654887487</v>
      </c>
      <c r="O7" s="4">
        <f t="shared" ref="O7:O9" si="3">$L$11*L6</f>
        <v>228.29188644207525</v>
      </c>
    </row>
    <row r="8" spans="11:15" ht="18.75" x14ac:dyDescent="0.3">
      <c r="K8" s="3">
        <v>3</v>
      </c>
      <c r="L8" s="33">
        <f t="shared" si="0"/>
        <v>2611.9130601270149</v>
      </c>
      <c r="M8" s="34">
        <f t="shared" si="1"/>
        <v>2690.270451930824</v>
      </c>
      <c r="N8" s="6">
        <f t="shared" si="2"/>
        <v>2535.8379224534115</v>
      </c>
      <c r="O8" s="4">
        <f t="shared" si="3"/>
        <v>154.43252947741277</v>
      </c>
    </row>
    <row r="9" spans="11:15" ht="18.75" x14ac:dyDescent="0.3">
      <c r="K9" s="9">
        <v>4</v>
      </c>
      <c r="L9" s="32">
        <f t="shared" si="0"/>
        <v>0</v>
      </c>
      <c r="M9" s="34">
        <f t="shared" si="1"/>
        <v>2690.270451930824</v>
      </c>
      <c r="N9" s="6">
        <f t="shared" si="2"/>
        <v>2611.9130601270135</v>
      </c>
      <c r="O9" s="4">
        <f t="shared" si="3"/>
        <v>78.357391803810444</v>
      </c>
    </row>
    <row r="10" spans="11:15" ht="18.75" x14ac:dyDescent="0.3">
      <c r="K10" s="2"/>
      <c r="L10" s="2"/>
      <c r="M10" s="71">
        <f>NPV($L$11,M6:M9)</f>
        <v>9999.9999999999982</v>
      </c>
      <c r="N10" s="72">
        <f t="shared" ref="N10:O10" si="4">NPV($L$11,N6:N9)</f>
        <v>9282.6036968187345</v>
      </c>
      <c r="O10" s="72">
        <f t="shared" si="4"/>
        <v>717.39630318126365</v>
      </c>
    </row>
    <row r="11" spans="11:15" ht="18.75" x14ac:dyDescent="0.3">
      <c r="K11" s="8" t="s">
        <v>6</v>
      </c>
      <c r="L11" s="55">
        <v>0.03</v>
      </c>
      <c r="M11" s="5" t="s">
        <v>9</v>
      </c>
    </row>
    <row r="12" spans="11:15" ht="18.75" x14ac:dyDescent="0.3">
      <c r="K12" s="8" t="s">
        <v>7</v>
      </c>
      <c r="L12" s="2">
        <v>4</v>
      </c>
      <c r="M12" s="5" t="s">
        <v>10</v>
      </c>
    </row>
    <row r="13" spans="11:15" ht="18.75" x14ac:dyDescent="0.3">
      <c r="K13" s="5"/>
      <c r="L13" s="5"/>
    </row>
    <row r="16" spans="11:15" ht="18.75" x14ac:dyDescent="0.3">
      <c r="K16" s="54" t="s">
        <v>8</v>
      </c>
      <c r="L16" s="10"/>
      <c r="M16" s="10"/>
      <c r="N16" s="10"/>
      <c r="O16" s="10"/>
    </row>
    <row r="17" spans="11:16" ht="18.75" x14ac:dyDescent="0.3">
      <c r="K17" s="3" t="s">
        <v>4</v>
      </c>
      <c r="L17" s="3" t="s">
        <v>0</v>
      </c>
      <c r="M17" s="3" t="s">
        <v>1</v>
      </c>
      <c r="N17" s="3" t="s">
        <v>3</v>
      </c>
      <c r="O17" s="3" t="s">
        <v>2</v>
      </c>
    </row>
    <row r="18" spans="11:16" ht="18.75" x14ac:dyDescent="0.3">
      <c r="K18" s="3">
        <v>0</v>
      </c>
      <c r="L18" s="4">
        <v>10000</v>
      </c>
      <c r="M18" s="4"/>
      <c r="N18" s="4"/>
      <c r="O18" s="4"/>
    </row>
    <row r="19" spans="11:16" ht="18.75" x14ac:dyDescent="0.3">
      <c r="K19" s="3">
        <v>1</v>
      </c>
      <c r="L19" s="4">
        <f>L18-N19</f>
        <v>7500</v>
      </c>
      <c r="M19" s="6">
        <f>N19+O19</f>
        <v>2800</v>
      </c>
      <c r="N19" s="6">
        <f>$L$18/4</f>
        <v>2500</v>
      </c>
      <c r="O19" s="4">
        <f>$L$26*L18</f>
        <v>300</v>
      </c>
    </row>
    <row r="20" spans="11:16" ht="18.75" x14ac:dyDescent="0.3">
      <c r="K20" s="3">
        <v>2</v>
      </c>
      <c r="L20" s="4">
        <f t="shared" ref="L20:L22" si="5">L19-N20</f>
        <v>5000</v>
      </c>
      <c r="M20" s="6">
        <f t="shared" ref="M20:M22" si="6">N20+O20</f>
        <v>2725</v>
      </c>
      <c r="N20" s="6">
        <f t="shared" ref="N20:N22" si="7">$L$18/4</f>
        <v>2500</v>
      </c>
      <c r="O20" s="4">
        <f t="shared" ref="O20:O22" si="8">$L$26*L19</f>
        <v>225</v>
      </c>
    </row>
    <row r="21" spans="11:16" ht="18.75" x14ac:dyDescent="0.3">
      <c r="K21" s="3">
        <v>3</v>
      </c>
      <c r="L21" s="4">
        <f t="shared" si="5"/>
        <v>2500</v>
      </c>
      <c r="M21" s="6">
        <f t="shared" si="6"/>
        <v>2650</v>
      </c>
      <c r="N21" s="6">
        <f t="shared" si="7"/>
        <v>2500</v>
      </c>
      <c r="O21" s="4">
        <f t="shared" si="8"/>
        <v>150</v>
      </c>
    </row>
    <row r="22" spans="11:16" ht="18.75" x14ac:dyDescent="0.3">
      <c r="K22" s="3">
        <v>4</v>
      </c>
      <c r="L22" s="32">
        <f t="shared" si="5"/>
        <v>0</v>
      </c>
      <c r="M22" s="6">
        <f t="shared" si="6"/>
        <v>2575</v>
      </c>
      <c r="N22" s="6">
        <f t="shared" si="7"/>
        <v>2500</v>
      </c>
      <c r="O22" s="4">
        <f t="shared" si="8"/>
        <v>75</v>
      </c>
    </row>
    <row r="23" spans="11:16" x14ac:dyDescent="0.25">
      <c r="M23" s="71">
        <f>NPV($L$26,M19:M22)</f>
        <v>10000</v>
      </c>
      <c r="N23" s="72">
        <f t="shared" ref="N23:O23" si="9">NPV($L$26,N19:N22)</f>
        <v>9292.746007025924</v>
      </c>
      <c r="O23" s="72">
        <f t="shared" si="9"/>
        <v>707.25399297407546</v>
      </c>
      <c r="P23" s="30"/>
    </row>
    <row r="25" spans="11:16" ht="18.75" x14ac:dyDescent="0.3">
      <c r="K25" s="2"/>
      <c r="L25" s="2"/>
      <c r="M25" s="2"/>
      <c r="N25" s="2"/>
      <c r="O25" s="2"/>
    </row>
    <row r="26" spans="11:16" ht="18.75" x14ac:dyDescent="0.3">
      <c r="K26" s="8" t="s">
        <v>6</v>
      </c>
      <c r="L26" s="7">
        <f>3%</f>
        <v>0.03</v>
      </c>
      <c r="M26" s="5" t="s">
        <v>9</v>
      </c>
    </row>
    <row r="27" spans="11:16" ht="18.75" x14ac:dyDescent="0.3">
      <c r="K27" s="8" t="s">
        <v>7</v>
      </c>
      <c r="L27" s="2">
        <v>4</v>
      </c>
      <c r="M27" s="5" t="s">
        <v>10</v>
      </c>
    </row>
    <row r="35" spans="11:15" ht="18.75" x14ac:dyDescent="0.3">
      <c r="K35" s="5" t="s">
        <v>27</v>
      </c>
    </row>
    <row r="36" spans="11:15" ht="18.75" x14ac:dyDescent="0.3">
      <c r="K36" s="3"/>
      <c r="L36" s="3" t="s">
        <v>0</v>
      </c>
      <c r="M36" s="3" t="s">
        <v>1</v>
      </c>
      <c r="N36" s="3" t="s">
        <v>3</v>
      </c>
      <c r="O36" s="3" t="s">
        <v>2</v>
      </c>
    </row>
    <row r="37" spans="11:15" ht="18.75" x14ac:dyDescent="0.3">
      <c r="K37" s="9">
        <v>0</v>
      </c>
      <c r="L37" s="4">
        <v>10000</v>
      </c>
      <c r="M37" s="4"/>
      <c r="N37" s="4"/>
      <c r="O37" s="4"/>
    </row>
    <row r="38" spans="11:15" ht="18.75" x14ac:dyDescent="0.3">
      <c r="K38" s="9">
        <v>1</v>
      </c>
      <c r="L38" s="4">
        <f>L37-N38</f>
        <v>10000</v>
      </c>
      <c r="M38" s="37">
        <f>N38+O38</f>
        <v>300</v>
      </c>
      <c r="N38" s="56">
        <v>0</v>
      </c>
      <c r="O38" s="4">
        <f>$L$45*L37</f>
        <v>300</v>
      </c>
    </row>
    <row r="39" spans="11:15" ht="18.75" x14ac:dyDescent="0.3">
      <c r="K39" s="9">
        <v>2</v>
      </c>
      <c r="L39" s="4">
        <f>L38-N39</f>
        <v>10000</v>
      </c>
      <c r="M39" s="37">
        <f>N39+O39</f>
        <v>300</v>
      </c>
      <c r="N39" s="56">
        <v>0</v>
      </c>
      <c r="O39" s="4">
        <f>$L$45*L38</f>
        <v>300</v>
      </c>
    </row>
    <row r="40" spans="11:15" ht="18.75" x14ac:dyDescent="0.3">
      <c r="K40" s="9">
        <v>3</v>
      </c>
      <c r="L40" s="4">
        <f>L39-N40</f>
        <v>7500</v>
      </c>
      <c r="M40" s="37">
        <f>N40+O40</f>
        <v>2800</v>
      </c>
      <c r="N40" s="6">
        <f>$L$39/4</f>
        <v>2500</v>
      </c>
      <c r="O40" s="4">
        <f>$L$45*L39</f>
        <v>300</v>
      </c>
    </row>
    <row r="41" spans="11:15" ht="18.75" x14ac:dyDescent="0.3">
      <c r="K41" s="9">
        <v>4</v>
      </c>
      <c r="L41" s="4">
        <f t="shared" ref="L41:L43" si="10">L40-N41</f>
        <v>5000</v>
      </c>
      <c r="M41" s="37">
        <f t="shared" ref="M41:M43" si="11">N41+O41</f>
        <v>2725</v>
      </c>
      <c r="N41" s="6">
        <f t="shared" ref="N41:N43" si="12">$L$39/4</f>
        <v>2500</v>
      </c>
      <c r="O41" s="4">
        <f t="shared" ref="O41:O43" si="13">$L$45*L40</f>
        <v>225</v>
      </c>
    </row>
    <row r="42" spans="11:15" ht="18.75" x14ac:dyDescent="0.3">
      <c r="K42" s="9">
        <v>5</v>
      </c>
      <c r="L42" s="4">
        <f t="shared" si="10"/>
        <v>2500</v>
      </c>
      <c r="M42" s="37">
        <f t="shared" si="11"/>
        <v>2650</v>
      </c>
      <c r="N42" s="6">
        <f t="shared" si="12"/>
        <v>2500</v>
      </c>
      <c r="O42" s="4">
        <f t="shared" si="13"/>
        <v>150</v>
      </c>
    </row>
    <row r="43" spans="11:15" ht="18.75" x14ac:dyDescent="0.3">
      <c r="K43" s="9">
        <v>6</v>
      </c>
      <c r="L43" s="32">
        <f t="shared" si="10"/>
        <v>0</v>
      </c>
      <c r="M43" s="37">
        <f t="shared" si="11"/>
        <v>2575</v>
      </c>
      <c r="N43" s="6">
        <f t="shared" si="12"/>
        <v>2500</v>
      </c>
      <c r="O43" s="4">
        <f t="shared" si="13"/>
        <v>75</v>
      </c>
    </row>
    <row r="44" spans="11:15" ht="18.75" x14ac:dyDescent="0.3">
      <c r="K44" s="2"/>
      <c r="L44" s="44"/>
      <c r="M44" s="73">
        <f>NPV($L$45,M38:M43)</f>
        <v>10000</v>
      </c>
      <c r="N44" s="39">
        <f>NPV($L$45,N38:N43)</f>
        <v>8759.3043708416681</v>
      </c>
      <c r="O44" s="39">
        <f>NPV($L$45,O38:O43)</f>
        <v>1240.6956291583328</v>
      </c>
    </row>
    <row r="45" spans="11:15" ht="18.75" x14ac:dyDescent="0.3">
      <c r="K45" s="8" t="s">
        <v>6</v>
      </c>
      <c r="L45" s="7">
        <v>0.03</v>
      </c>
      <c r="M45" s="5" t="s">
        <v>9</v>
      </c>
    </row>
    <row r="46" spans="11:15" ht="18.75" x14ac:dyDescent="0.3">
      <c r="K46" s="8" t="s">
        <v>7</v>
      </c>
      <c r="L46" s="2">
        <v>4</v>
      </c>
      <c r="M46" s="5" t="s">
        <v>10</v>
      </c>
    </row>
    <row r="51" spans="11:15" ht="18.75" x14ac:dyDescent="0.3">
      <c r="K51" s="5" t="s">
        <v>27</v>
      </c>
    </row>
    <row r="52" spans="11:15" ht="18.75" x14ac:dyDescent="0.3">
      <c r="K52" s="3"/>
      <c r="L52" s="3" t="s">
        <v>0</v>
      </c>
      <c r="M52" s="3" t="s">
        <v>1</v>
      </c>
      <c r="N52" s="3" t="s">
        <v>3</v>
      </c>
      <c r="O52" s="3" t="s">
        <v>2</v>
      </c>
    </row>
    <row r="53" spans="11:15" ht="18.75" x14ac:dyDescent="0.3">
      <c r="K53" s="9">
        <v>0</v>
      </c>
      <c r="L53" s="4">
        <v>10000</v>
      </c>
      <c r="M53" s="4"/>
      <c r="N53" s="4"/>
      <c r="O53" s="4"/>
    </row>
    <row r="54" spans="11:15" ht="18.75" x14ac:dyDescent="0.3">
      <c r="K54" s="9">
        <v>1</v>
      </c>
      <c r="L54" s="4">
        <f>L53+L53*L61</f>
        <v>10300</v>
      </c>
      <c r="M54" s="56">
        <f>N54+O54</f>
        <v>0</v>
      </c>
      <c r="N54" s="56">
        <v>0</v>
      </c>
      <c r="O54" s="57">
        <v>0</v>
      </c>
    </row>
    <row r="55" spans="11:15" ht="18.75" x14ac:dyDescent="0.3">
      <c r="K55" s="9">
        <v>2</v>
      </c>
      <c r="L55" s="4">
        <f>L54+L54*L61</f>
        <v>10609</v>
      </c>
      <c r="M55" s="56">
        <f>N55+O55</f>
        <v>0</v>
      </c>
      <c r="N55" s="56">
        <v>0</v>
      </c>
      <c r="O55" s="57">
        <v>0</v>
      </c>
    </row>
    <row r="56" spans="11:15" ht="18.75" x14ac:dyDescent="0.3">
      <c r="K56" s="9">
        <v>3</v>
      </c>
      <c r="L56" s="4">
        <f>L55-N56</f>
        <v>7956.75</v>
      </c>
      <c r="M56" s="6">
        <f>N56+O56</f>
        <v>2970.52</v>
      </c>
      <c r="N56" s="6">
        <f>$L$55/4</f>
        <v>2652.25</v>
      </c>
      <c r="O56" s="4">
        <f>$L$61*L55</f>
        <v>318.27</v>
      </c>
    </row>
    <row r="57" spans="11:15" ht="18.75" x14ac:dyDescent="0.3">
      <c r="K57" s="9">
        <v>4</v>
      </c>
      <c r="L57" s="4">
        <f t="shared" ref="L57:L59" si="14">L56-N57</f>
        <v>5304.5</v>
      </c>
      <c r="M57" s="6">
        <f t="shared" ref="M57:M59" si="15">N57+O57</f>
        <v>2890.9524999999999</v>
      </c>
      <c r="N57" s="6">
        <f t="shared" ref="N57:N59" si="16">$L$55/4</f>
        <v>2652.25</v>
      </c>
      <c r="O57" s="4">
        <f t="shared" ref="O57:O59" si="17">$L$61*L56</f>
        <v>238.70249999999999</v>
      </c>
    </row>
    <row r="58" spans="11:15" ht="18.75" x14ac:dyDescent="0.3">
      <c r="K58" s="9">
        <v>5</v>
      </c>
      <c r="L58" s="4">
        <f t="shared" si="14"/>
        <v>2652.25</v>
      </c>
      <c r="M58" s="6">
        <f t="shared" si="15"/>
        <v>2811.3850000000002</v>
      </c>
      <c r="N58" s="6">
        <f t="shared" si="16"/>
        <v>2652.25</v>
      </c>
      <c r="O58" s="4">
        <f t="shared" si="17"/>
        <v>159.13499999999999</v>
      </c>
    </row>
    <row r="59" spans="11:15" ht="18.75" x14ac:dyDescent="0.3">
      <c r="K59" s="9">
        <v>6</v>
      </c>
      <c r="L59" s="32">
        <f t="shared" si="14"/>
        <v>0</v>
      </c>
      <c r="M59" s="6">
        <f t="shared" si="15"/>
        <v>2731.8175000000001</v>
      </c>
      <c r="N59" s="6">
        <f t="shared" si="16"/>
        <v>2652.25</v>
      </c>
      <c r="O59" s="4">
        <f t="shared" si="17"/>
        <v>79.567499999999995</v>
      </c>
    </row>
    <row r="60" spans="11:15" ht="18.75" x14ac:dyDescent="0.3">
      <c r="K60" s="53"/>
      <c r="L60" s="53"/>
      <c r="M60" s="73">
        <f>NPV($L$61,M54:M59)</f>
        <v>10000</v>
      </c>
      <c r="N60" s="39">
        <f t="shared" ref="N60:O60" si="18">NPV($L$61,N54:N59)</f>
        <v>9292.746007025924</v>
      </c>
      <c r="O60" s="39">
        <f t="shared" si="18"/>
        <v>707.25399297407535</v>
      </c>
    </row>
    <row r="61" spans="11:15" ht="18.75" x14ac:dyDescent="0.3">
      <c r="K61" s="8" t="s">
        <v>6</v>
      </c>
      <c r="L61" s="7">
        <v>0.03</v>
      </c>
      <c r="M61" s="5" t="s">
        <v>9</v>
      </c>
    </row>
    <row r="62" spans="11:15" ht="18.75" x14ac:dyDescent="0.3">
      <c r="K62" s="8" t="s">
        <v>7</v>
      </c>
      <c r="L62" s="53">
        <v>4</v>
      </c>
      <c r="M62" s="5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T38"/>
  <sheetViews>
    <sheetView topLeftCell="O1" zoomScale="110" zoomScaleNormal="110" workbookViewId="0">
      <selection activeCell="T28" sqref="T28"/>
    </sheetView>
  </sheetViews>
  <sheetFormatPr defaultColWidth="9.140625" defaultRowHeight="15" x14ac:dyDescent="0.25"/>
  <cols>
    <col min="1" max="8" width="9.140625" style="1"/>
    <col min="9" max="9" width="9.28515625" style="1" bestFit="1" customWidth="1"/>
    <col min="10" max="10" width="19.5703125" style="1" customWidth="1"/>
    <col min="11" max="12" width="18.5703125" style="1" customWidth="1"/>
    <col min="13" max="13" width="19.42578125" style="1" customWidth="1"/>
    <col min="14" max="14" width="16.5703125" style="1" bestFit="1" customWidth="1"/>
    <col min="15" max="15" width="18.28515625" style="1" bestFit="1" customWidth="1"/>
    <col min="16" max="16" width="16.28515625" style="1" customWidth="1"/>
    <col min="17" max="17" width="16.85546875" style="1" customWidth="1"/>
    <col min="18" max="18" width="19.85546875" style="1" bestFit="1" customWidth="1"/>
    <col min="19" max="19" width="18.140625" style="1" bestFit="1" customWidth="1"/>
    <col min="20" max="20" width="16" style="1" bestFit="1" customWidth="1"/>
    <col min="21" max="16384" width="9.140625" style="1"/>
  </cols>
  <sheetData>
    <row r="1" spans="9:18" ht="18.75" x14ac:dyDescent="0.3">
      <c r="I1" s="70" t="s">
        <v>26</v>
      </c>
      <c r="J1" s="70"/>
      <c r="K1" s="70"/>
      <c r="L1" s="70"/>
      <c r="M1" s="70"/>
      <c r="N1" s="70"/>
      <c r="O1" s="70"/>
      <c r="P1" s="70"/>
      <c r="Q1" s="70"/>
      <c r="R1" s="70"/>
    </row>
    <row r="2" spans="9:18" ht="18.75" x14ac:dyDescent="0.3">
      <c r="I2" s="2" t="s">
        <v>24</v>
      </c>
      <c r="J2" s="22">
        <v>0.05</v>
      </c>
      <c r="K2" s="5" t="s">
        <v>22</v>
      </c>
    </row>
    <row r="4" spans="9:18" ht="18.75" x14ac:dyDescent="0.3">
      <c r="I4" s="18" t="s">
        <v>11</v>
      </c>
      <c r="J4" s="18" t="s">
        <v>12</v>
      </c>
      <c r="K4" s="9" t="s">
        <v>3</v>
      </c>
      <c r="L4" s="9" t="s">
        <v>2</v>
      </c>
      <c r="M4" s="9" t="s">
        <v>13</v>
      </c>
      <c r="N4" s="18" t="s">
        <v>14</v>
      </c>
      <c r="O4" s="9" t="s">
        <v>15</v>
      </c>
      <c r="P4" s="18" t="s">
        <v>16</v>
      </c>
      <c r="Q4" s="18" t="s">
        <v>17</v>
      </c>
      <c r="R4" s="18" t="s">
        <v>18</v>
      </c>
    </row>
    <row r="5" spans="9:18" ht="18.75" x14ac:dyDescent="0.3">
      <c r="I5" s="3">
        <v>0</v>
      </c>
      <c r="J5" s="38">
        <v>-12000</v>
      </c>
      <c r="K5" s="57"/>
      <c r="L5" s="57"/>
      <c r="M5" s="57"/>
      <c r="N5" s="4"/>
      <c r="O5" s="4">
        <v>12000</v>
      </c>
      <c r="P5" s="4"/>
      <c r="Q5" s="4"/>
      <c r="R5" s="38">
        <f>J5-Q5</f>
        <v>-12000</v>
      </c>
    </row>
    <row r="6" spans="9:18" ht="18.75" x14ac:dyDescent="0.3">
      <c r="I6" s="3">
        <v>1</v>
      </c>
      <c r="J6" s="4">
        <v>3500</v>
      </c>
      <c r="K6" s="57"/>
      <c r="L6" s="57"/>
      <c r="M6" s="57"/>
      <c r="N6" s="4">
        <f>$L$12*12000</f>
        <v>2400</v>
      </c>
      <c r="O6" s="4">
        <f>O5-N6</f>
        <v>9600</v>
      </c>
      <c r="P6" s="4">
        <f>J6-N6</f>
        <v>1100</v>
      </c>
      <c r="Q6" s="4">
        <f>0.35*P6</f>
        <v>385</v>
      </c>
      <c r="R6" s="4">
        <f>J6-Q6</f>
        <v>3115</v>
      </c>
    </row>
    <row r="7" spans="9:18" ht="18.75" x14ac:dyDescent="0.3">
      <c r="I7" s="3">
        <v>2</v>
      </c>
      <c r="J7" s="4">
        <v>3500</v>
      </c>
      <c r="K7" s="57"/>
      <c r="L7" s="57"/>
      <c r="M7" s="57"/>
      <c r="N7" s="4">
        <f t="shared" ref="N7:N10" si="0">$L$12*12000</f>
        <v>2400</v>
      </c>
      <c r="O7" s="4">
        <f t="shared" ref="O7:O10" si="1">O6-N7</f>
        <v>7200</v>
      </c>
      <c r="P7" s="4">
        <f t="shared" ref="P7:P9" si="2">J7-N7</f>
        <v>1100</v>
      </c>
      <c r="Q7" s="4">
        <f t="shared" ref="Q7:Q10" si="3">0.35*P7</f>
        <v>385</v>
      </c>
      <c r="R7" s="4">
        <f t="shared" ref="R7:R10" si="4">J7-Q7</f>
        <v>3115</v>
      </c>
    </row>
    <row r="8" spans="9:18" ht="18.75" x14ac:dyDescent="0.3">
      <c r="I8" s="3">
        <v>3</v>
      </c>
      <c r="J8" s="4">
        <v>3500</v>
      </c>
      <c r="K8" s="57"/>
      <c r="L8" s="57"/>
      <c r="M8" s="57"/>
      <c r="N8" s="4">
        <f t="shared" si="0"/>
        <v>2400</v>
      </c>
      <c r="O8" s="4">
        <f t="shared" si="1"/>
        <v>4800</v>
      </c>
      <c r="P8" s="4">
        <f t="shared" si="2"/>
        <v>1100</v>
      </c>
      <c r="Q8" s="4">
        <f t="shared" si="3"/>
        <v>385</v>
      </c>
      <c r="R8" s="4">
        <f t="shared" si="4"/>
        <v>3115</v>
      </c>
    </row>
    <row r="9" spans="9:18" ht="18.75" x14ac:dyDescent="0.3">
      <c r="I9" s="3">
        <v>4</v>
      </c>
      <c r="J9" s="4">
        <v>3500</v>
      </c>
      <c r="K9" s="57"/>
      <c r="L9" s="57"/>
      <c r="M9" s="57"/>
      <c r="N9" s="4">
        <f t="shared" si="0"/>
        <v>2400</v>
      </c>
      <c r="O9" s="4">
        <f t="shared" si="1"/>
        <v>2400</v>
      </c>
      <c r="P9" s="4">
        <f t="shared" si="2"/>
        <v>1100</v>
      </c>
      <c r="Q9" s="4">
        <f t="shared" si="3"/>
        <v>385</v>
      </c>
      <c r="R9" s="4">
        <f t="shared" si="4"/>
        <v>3115</v>
      </c>
    </row>
    <row r="10" spans="9:18" ht="18.75" x14ac:dyDescent="0.3">
      <c r="I10" s="3">
        <v>5</v>
      </c>
      <c r="J10" s="4">
        <v>3500</v>
      </c>
      <c r="K10" s="57"/>
      <c r="L10" s="57"/>
      <c r="M10" s="57"/>
      <c r="N10" s="4">
        <f t="shared" si="0"/>
        <v>2400</v>
      </c>
      <c r="O10" s="32">
        <f t="shared" si="1"/>
        <v>0</v>
      </c>
      <c r="P10" s="32">
        <f>J10-N10-O10</f>
        <v>1100</v>
      </c>
      <c r="Q10" s="4">
        <f t="shared" si="3"/>
        <v>385</v>
      </c>
      <c r="R10" s="4">
        <f t="shared" si="4"/>
        <v>3115</v>
      </c>
    </row>
    <row r="12" spans="9:18" ht="18.75" x14ac:dyDescent="0.3">
      <c r="I12" s="21" t="s">
        <v>19</v>
      </c>
      <c r="J12" s="23">
        <f>NPV(J2,J6:J10)+J5</f>
        <v>3153.1683472078676</v>
      </c>
      <c r="K12" s="58" t="s">
        <v>29</v>
      </c>
      <c r="L12" s="59">
        <v>0.2</v>
      </c>
      <c r="M12" s="27"/>
      <c r="Q12" s="21" t="s">
        <v>19</v>
      </c>
      <c r="R12" s="62">
        <f>NPV(J2,R6:R10)+R5</f>
        <v>1486.3198290150012</v>
      </c>
    </row>
    <row r="13" spans="9:18" ht="18.75" x14ac:dyDescent="0.3">
      <c r="I13" s="21" t="s">
        <v>20</v>
      </c>
      <c r="J13" s="24">
        <f>IRR(J5:J10)</f>
        <v>0.14054712500717947</v>
      </c>
      <c r="K13" s="58" t="s">
        <v>30</v>
      </c>
      <c r="L13" s="21">
        <f>100/20</f>
        <v>5</v>
      </c>
      <c r="M13" s="28" t="s">
        <v>31</v>
      </c>
      <c r="Q13" s="21" t="s">
        <v>20</v>
      </c>
      <c r="R13" s="24">
        <f>IRR(R5:R10)</f>
        <v>9.3726876410673121E-2</v>
      </c>
    </row>
    <row r="16" spans="9:18" ht="18.75" x14ac:dyDescent="0.3">
      <c r="I16" s="70" t="s">
        <v>25</v>
      </c>
      <c r="J16" s="70"/>
      <c r="K16" s="70"/>
      <c r="L16" s="70"/>
      <c r="M16" s="70"/>
      <c r="N16" s="70"/>
      <c r="O16" s="70"/>
      <c r="P16" s="70"/>
      <c r="Q16" s="70"/>
      <c r="R16" s="70"/>
    </row>
    <row r="17" spans="9:20" ht="18.75" x14ac:dyDescent="0.3">
      <c r="I17" s="2" t="s">
        <v>24</v>
      </c>
      <c r="J17" s="22">
        <v>0.05</v>
      </c>
      <c r="K17" s="5" t="s">
        <v>22</v>
      </c>
    </row>
    <row r="18" spans="9:20" x14ac:dyDescent="0.25">
      <c r="R18" s="10" t="s">
        <v>33</v>
      </c>
      <c r="S18" s="65" t="s">
        <v>32</v>
      </c>
    </row>
    <row r="19" spans="9:20" ht="18.75" x14ac:dyDescent="0.3">
      <c r="I19" s="18" t="s">
        <v>11</v>
      </c>
      <c r="J19" s="18" t="s">
        <v>12</v>
      </c>
      <c r="K19" s="3" t="s">
        <v>3</v>
      </c>
      <c r="L19" s="3" t="s">
        <v>2</v>
      </c>
      <c r="M19" s="18" t="s">
        <v>13</v>
      </c>
      <c r="N19" s="18" t="s">
        <v>14</v>
      </c>
      <c r="O19" s="9" t="s">
        <v>15</v>
      </c>
      <c r="P19" s="18" t="s">
        <v>16</v>
      </c>
      <c r="Q19" s="18" t="s">
        <v>17</v>
      </c>
      <c r="R19" s="18" t="s">
        <v>18</v>
      </c>
      <c r="S19" s="18" t="s">
        <v>18</v>
      </c>
      <c r="T19" s="5"/>
    </row>
    <row r="20" spans="9:20" ht="18.75" x14ac:dyDescent="0.3">
      <c r="I20" s="3">
        <v>0</v>
      </c>
      <c r="J20" s="4">
        <f>J5</f>
        <v>-12000</v>
      </c>
      <c r="K20" s="4"/>
      <c r="L20" s="4"/>
      <c r="M20" s="32">
        <f>J20+J28</f>
        <v>-4800</v>
      </c>
      <c r="N20" s="4"/>
      <c r="O20" s="4">
        <f>O5</f>
        <v>12000</v>
      </c>
      <c r="P20" s="4"/>
      <c r="Q20" s="4"/>
      <c r="R20" s="38">
        <f>M20-Q20</f>
        <v>-4800</v>
      </c>
      <c r="S20" s="38">
        <f>R5</f>
        <v>-12000</v>
      </c>
      <c r="T20" s="42">
        <f>S20-R20</f>
        <v>-7200</v>
      </c>
    </row>
    <row r="21" spans="9:20" ht="18.75" x14ac:dyDescent="0.3">
      <c r="I21" s="3">
        <v>1</v>
      </c>
      <c r="J21" s="4">
        <f t="shared" ref="J21:J25" si="5">J6</f>
        <v>3500</v>
      </c>
      <c r="K21" s="6">
        <f>L33</f>
        <v>1440</v>
      </c>
      <c r="L21" s="4">
        <f>M33</f>
        <v>648</v>
      </c>
      <c r="M21" s="4">
        <f>J21-K21-L21</f>
        <v>1412</v>
      </c>
      <c r="N21" s="4">
        <f>N6</f>
        <v>2400</v>
      </c>
      <c r="O21" s="4">
        <f t="shared" ref="O21:O25" si="6">O6</f>
        <v>9600</v>
      </c>
      <c r="P21" s="4">
        <f>J21-N21-L21</f>
        <v>452</v>
      </c>
      <c r="Q21" s="4">
        <f>35%*P21</f>
        <v>158.19999999999999</v>
      </c>
      <c r="R21" s="4">
        <f>M21-Q21</f>
        <v>1253.8</v>
      </c>
      <c r="S21" s="46">
        <f t="shared" ref="S21:S25" si="7">R6</f>
        <v>3115</v>
      </c>
      <c r="T21" s="63">
        <f t="shared" ref="T21:T25" si="8">S21-R21</f>
        <v>1861.2</v>
      </c>
    </row>
    <row r="22" spans="9:20" ht="18.75" x14ac:dyDescent="0.3">
      <c r="I22" s="3">
        <v>2</v>
      </c>
      <c r="J22" s="4">
        <f t="shared" si="5"/>
        <v>3500</v>
      </c>
      <c r="K22" s="6">
        <f t="shared" ref="K22:L25" si="9">L34</f>
        <v>1440</v>
      </c>
      <c r="L22" s="4">
        <f t="shared" si="9"/>
        <v>518.4</v>
      </c>
      <c r="M22" s="4">
        <f t="shared" ref="M22:M25" si="10">J22-K22-L22</f>
        <v>1541.6</v>
      </c>
      <c r="N22" s="4">
        <f t="shared" ref="N22:N25" si="11">N7</f>
        <v>2400</v>
      </c>
      <c r="O22" s="4">
        <f t="shared" si="6"/>
        <v>7200</v>
      </c>
      <c r="P22" s="4">
        <f t="shared" ref="P22:P24" si="12">J22-N22-L22</f>
        <v>581.6</v>
      </c>
      <c r="Q22" s="4">
        <f t="shared" ref="Q22:Q25" si="13">35%*P22</f>
        <v>203.56</v>
      </c>
      <c r="R22" s="4">
        <f t="shared" ref="R22:R25" si="14">M22-Q22</f>
        <v>1338.04</v>
      </c>
      <c r="S22" s="46">
        <f t="shared" si="7"/>
        <v>3115</v>
      </c>
      <c r="T22" s="63">
        <f t="shared" si="8"/>
        <v>1776.96</v>
      </c>
    </row>
    <row r="23" spans="9:20" ht="18.75" x14ac:dyDescent="0.3">
      <c r="I23" s="3">
        <v>3</v>
      </c>
      <c r="J23" s="4">
        <f t="shared" si="5"/>
        <v>3500</v>
      </c>
      <c r="K23" s="6">
        <f t="shared" si="9"/>
        <v>1440</v>
      </c>
      <c r="L23" s="4">
        <f t="shared" si="9"/>
        <v>388.8</v>
      </c>
      <c r="M23" s="4">
        <f t="shared" si="10"/>
        <v>1671.2</v>
      </c>
      <c r="N23" s="4">
        <f t="shared" si="11"/>
        <v>2400</v>
      </c>
      <c r="O23" s="4">
        <f t="shared" si="6"/>
        <v>4800</v>
      </c>
      <c r="P23" s="4">
        <f t="shared" si="12"/>
        <v>711.2</v>
      </c>
      <c r="Q23" s="4">
        <f t="shared" si="13"/>
        <v>248.92</v>
      </c>
      <c r="R23" s="4">
        <f t="shared" si="14"/>
        <v>1422.28</v>
      </c>
      <c r="S23" s="46">
        <f t="shared" si="7"/>
        <v>3115</v>
      </c>
      <c r="T23" s="63">
        <f t="shared" si="8"/>
        <v>1692.72</v>
      </c>
    </row>
    <row r="24" spans="9:20" ht="18.75" x14ac:dyDescent="0.3">
      <c r="I24" s="3">
        <v>4</v>
      </c>
      <c r="J24" s="4">
        <f t="shared" si="5"/>
        <v>3500</v>
      </c>
      <c r="K24" s="6">
        <f>L36</f>
        <v>1440</v>
      </c>
      <c r="L24" s="4">
        <f t="shared" ref="L24:L25" si="15">M36</f>
        <v>259.2</v>
      </c>
      <c r="M24" s="4">
        <f t="shared" si="10"/>
        <v>1800.8</v>
      </c>
      <c r="N24" s="4">
        <f t="shared" si="11"/>
        <v>2400</v>
      </c>
      <c r="O24" s="4">
        <f t="shared" si="6"/>
        <v>2400</v>
      </c>
      <c r="P24" s="4">
        <f t="shared" si="12"/>
        <v>840.8</v>
      </c>
      <c r="Q24" s="4">
        <f t="shared" si="13"/>
        <v>294.27999999999997</v>
      </c>
      <c r="R24" s="4">
        <f t="shared" si="14"/>
        <v>1506.52</v>
      </c>
      <c r="S24" s="46">
        <f t="shared" si="7"/>
        <v>3115</v>
      </c>
      <c r="T24" s="63">
        <f t="shared" si="8"/>
        <v>1608.48</v>
      </c>
    </row>
    <row r="25" spans="9:20" ht="18.75" x14ac:dyDescent="0.3">
      <c r="I25" s="3">
        <v>5</v>
      </c>
      <c r="J25" s="4">
        <f t="shared" si="5"/>
        <v>3500</v>
      </c>
      <c r="K25" s="6">
        <f t="shared" si="9"/>
        <v>1440</v>
      </c>
      <c r="L25" s="4">
        <f t="shared" si="15"/>
        <v>129.6</v>
      </c>
      <c r="M25" s="4">
        <f t="shared" si="10"/>
        <v>1930.4</v>
      </c>
      <c r="N25" s="4">
        <f t="shared" si="11"/>
        <v>2400</v>
      </c>
      <c r="O25" s="32">
        <f t="shared" si="6"/>
        <v>0</v>
      </c>
      <c r="P25" s="32">
        <f>J25-N25-L25-O25</f>
        <v>970.4</v>
      </c>
      <c r="Q25" s="4">
        <f t="shared" si="13"/>
        <v>339.64</v>
      </c>
      <c r="R25" s="4">
        <f t="shared" si="14"/>
        <v>1590.7600000000002</v>
      </c>
      <c r="S25" s="46">
        <f t="shared" si="7"/>
        <v>3115</v>
      </c>
      <c r="T25" s="63">
        <f t="shared" si="8"/>
        <v>1524.2399999999998</v>
      </c>
    </row>
    <row r="26" spans="9:20" x14ac:dyDescent="0.25">
      <c r="J26" s="30"/>
    </row>
    <row r="27" spans="9:20" ht="18.75" x14ac:dyDescent="0.3">
      <c r="I27" s="26"/>
      <c r="J27" s="27"/>
      <c r="K27" s="29"/>
      <c r="L27" s="26"/>
      <c r="M27" s="27"/>
      <c r="Q27" s="21" t="s">
        <v>19</v>
      </c>
      <c r="R27" s="23">
        <f>NPV($J$17,R21:R25)+R20</f>
        <v>1322.1757179854267</v>
      </c>
      <c r="S27" s="62">
        <f>NPV($J$17,S21:S25)+S20</f>
        <v>1486.3198290150012</v>
      </c>
      <c r="T27" s="41"/>
    </row>
    <row r="28" spans="9:20" ht="18.75" x14ac:dyDescent="0.3">
      <c r="I28" s="2" t="s">
        <v>28</v>
      </c>
      <c r="J28" s="60">
        <f>60%*12000</f>
        <v>7200</v>
      </c>
      <c r="K28" s="31"/>
      <c r="Q28" s="21" t="s">
        <v>20</v>
      </c>
      <c r="R28" s="24">
        <f>IRR(R20:R25)</f>
        <v>0.14062921983187393</v>
      </c>
      <c r="S28" s="64">
        <f>IRR(S20:S25)</f>
        <v>9.3726876410673121E-2</v>
      </c>
      <c r="T28" s="24">
        <f>IRR(T20:T25)</f>
        <v>5.8499999999999996E-2</v>
      </c>
    </row>
    <row r="29" spans="9:20" ht="18.75" x14ac:dyDescent="0.3">
      <c r="I29" s="61" t="s">
        <v>21</v>
      </c>
      <c r="J29" s="2" t="s">
        <v>6</v>
      </c>
      <c r="K29" s="35">
        <v>0.09</v>
      </c>
      <c r="L29" s="5" t="s">
        <v>22</v>
      </c>
    </row>
    <row r="31" spans="9:20" ht="18.75" x14ac:dyDescent="0.3">
      <c r="I31" s="3" t="s">
        <v>4</v>
      </c>
      <c r="J31" s="3" t="s">
        <v>0</v>
      </c>
      <c r="K31" s="3" t="s">
        <v>1</v>
      </c>
      <c r="L31" s="3" t="s">
        <v>3</v>
      </c>
      <c r="M31" s="3" t="s">
        <v>2</v>
      </c>
    </row>
    <row r="32" spans="9:20" ht="18.75" x14ac:dyDescent="0.3">
      <c r="I32" s="3">
        <v>0</v>
      </c>
      <c r="J32" s="4">
        <v>7200</v>
      </c>
      <c r="K32" s="4"/>
      <c r="L32" s="4"/>
      <c r="M32" s="4"/>
    </row>
    <row r="33" spans="9:13" ht="18.75" x14ac:dyDescent="0.3">
      <c r="I33" s="3">
        <v>1</v>
      </c>
      <c r="J33" s="4">
        <f>J32-L33</f>
        <v>5760</v>
      </c>
      <c r="K33" s="6">
        <f>L33+M33</f>
        <v>2088</v>
      </c>
      <c r="L33" s="6">
        <f>$J$32/5</f>
        <v>1440</v>
      </c>
      <c r="M33" s="4">
        <f>$K$29*J32</f>
        <v>648</v>
      </c>
    </row>
    <row r="34" spans="9:13" ht="18.75" x14ac:dyDescent="0.3">
      <c r="I34" s="3">
        <v>2</v>
      </c>
      <c r="J34" s="4">
        <f t="shared" ref="J34:J37" si="16">J33-L34</f>
        <v>4320</v>
      </c>
      <c r="K34" s="6">
        <f t="shared" ref="K34:K37" si="17">L34+M34</f>
        <v>1958.4</v>
      </c>
      <c r="L34" s="6">
        <f t="shared" ref="L34:L37" si="18">$J$32/5</f>
        <v>1440</v>
      </c>
      <c r="M34" s="4">
        <f t="shared" ref="M34:M37" si="19">$K$29*J33</f>
        <v>518.4</v>
      </c>
    </row>
    <row r="35" spans="9:13" ht="18.75" x14ac:dyDescent="0.3">
      <c r="I35" s="3">
        <v>3</v>
      </c>
      <c r="J35" s="4">
        <f t="shared" si="16"/>
        <v>2880</v>
      </c>
      <c r="K35" s="6">
        <f t="shared" si="17"/>
        <v>1828.8</v>
      </c>
      <c r="L35" s="6">
        <f t="shared" si="18"/>
        <v>1440</v>
      </c>
      <c r="M35" s="4">
        <f t="shared" si="19"/>
        <v>388.8</v>
      </c>
    </row>
    <row r="36" spans="9:13" ht="18.75" x14ac:dyDescent="0.3">
      <c r="I36" s="9">
        <v>4</v>
      </c>
      <c r="J36" s="4">
        <f t="shared" si="16"/>
        <v>1440</v>
      </c>
      <c r="K36" s="6">
        <f t="shared" si="17"/>
        <v>1699.2</v>
      </c>
      <c r="L36" s="6">
        <f t="shared" si="18"/>
        <v>1440</v>
      </c>
      <c r="M36" s="4">
        <f t="shared" si="19"/>
        <v>259.2</v>
      </c>
    </row>
    <row r="37" spans="9:13" ht="18.75" x14ac:dyDescent="0.3">
      <c r="I37" s="9">
        <v>5</v>
      </c>
      <c r="J37" s="32">
        <f t="shared" si="16"/>
        <v>0</v>
      </c>
      <c r="K37" s="6">
        <f t="shared" si="17"/>
        <v>1569.6</v>
      </c>
      <c r="L37" s="6">
        <f t="shared" si="18"/>
        <v>1440</v>
      </c>
      <c r="M37" s="4">
        <f t="shared" si="19"/>
        <v>129.6</v>
      </c>
    </row>
    <row r="38" spans="9:13" x14ac:dyDescent="0.25">
      <c r="K38" s="39">
        <f>NPV(K29,K33:K37)</f>
        <v>7199.9999999999991</v>
      </c>
    </row>
  </sheetData>
  <mergeCells count="2">
    <mergeCell ref="I16:R16"/>
    <mergeCell ref="I1:R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M80"/>
  <sheetViews>
    <sheetView zoomScale="90" zoomScaleNormal="90" workbookViewId="0">
      <selection activeCell="M57" sqref="M57"/>
    </sheetView>
  </sheetViews>
  <sheetFormatPr defaultColWidth="9.140625" defaultRowHeight="15" x14ac:dyDescent="0.25"/>
  <cols>
    <col min="1" max="1" width="9.140625" style="1"/>
    <col min="2" max="2" width="5.85546875" style="1" bestFit="1" customWidth="1"/>
    <col min="3" max="3" width="18.7109375" style="1" customWidth="1"/>
    <col min="4" max="4" width="19.5703125" style="1" customWidth="1"/>
    <col min="5" max="5" width="20.28515625" style="1" customWidth="1"/>
    <col min="6" max="6" width="20.85546875" style="1" customWidth="1"/>
    <col min="7" max="7" width="22" style="1" customWidth="1"/>
    <col min="8" max="8" width="19" style="1" customWidth="1"/>
    <col min="9" max="9" width="16.5703125" style="1" bestFit="1" customWidth="1"/>
    <col min="10" max="10" width="16.85546875" style="1" bestFit="1" customWidth="1"/>
    <col min="11" max="11" width="18.140625" style="1" bestFit="1" customWidth="1"/>
    <col min="12" max="13" width="18.28515625" style="1" bestFit="1" customWidth="1"/>
    <col min="14" max="16384" width="9.140625" style="1"/>
  </cols>
  <sheetData>
    <row r="14" spans="2:13" ht="18.75" x14ac:dyDescent="0.3">
      <c r="C14" s="2" t="s">
        <v>24</v>
      </c>
      <c r="D14" s="22">
        <v>0.1</v>
      </c>
    </row>
    <row r="16" spans="2:13" ht="18.75" x14ac:dyDescent="0.3">
      <c r="B16" s="18" t="s">
        <v>11</v>
      </c>
      <c r="C16" s="18" t="s">
        <v>12</v>
      </c>
      <c r="D16" s="3" t="s">
        <v>3</v>
      </c>
      <c r="E16" s="3" t="s">
        <v>2</v>
      </c>
      <c r="F16" s="3" t="s">
        <v>13</v>
      </c>
      <c r="G16" s="18" t="s">
        <v>14</v>
      </c>
      <c r="H16" s="9" t="s">
        <v>15</v>
      </c>
      <c r="I16" s="18" t="s">
        <v>16</v>
      </c>
      <c r="J16" s="18" t="s">
        <v>17</v>
      </c>
      <c r="K16" s="18" t="s">
        <v>18</v>
      </c>
      <c r="L16" s="5"/>
      <c r="M16" s="36"/>
    </row>
    <row r="17" spans="2:13" ht="18.75" x14ac:dyDescent="0.3">
      <c r="B17" s="19">
        <v>0</v>
      </c>
      <c r="C17" s="38">
        <v>-10000</v>
      </c>
      <c r="D17" s="57"/>
      <c r="E17" s="57"/>
      <c r="F17" s="57"/>
      <c r="G17" s="4"/>
      <c r="H17" s="4">
        <v>10000</v>
      </c>
      <c r="I17" s="4"/>
      <c r="J17" s="4"/>
      <c r="K17" s="38">
        <f>C17-J17</f>
        <v>-10000</v>
      </c>
      <c r="L17" s="40"/>
      <c r="M17" s="43"/>
    </row>
    <row r="18" spans="2:13" ht="18.75" x14ac:dyDescent="0.3">
      <c r="B18" s="19">
        <v>1</v>
      </c>
      <c r="C18" s="4">
        <v>3000</v>
      </c>
      <c r="D18" s="57"/>
      <c r="E18" s="57"/>
      <c r="F18" s="57"/>
      <c r="G18" s="4">
        <f>$E$24*10000</f>
        <v>1000</v>
      </c>
      <c r="H18" s="4">
        <f>H17-G18</f>
        <v>9000</v>
      </c>
      <c r="I18" s="4">
        <f>C18-G18</f>
        <v>2000</v>
      </c>
      <c r="J18" s="4">
        <f>35%*I18</f>
        <v>700</v>
      </c>
      <c r="K18" s="4">
        <f>C18-J18</f>
        <v>2300</v>
      </c>
      <c r="L18" s="40"/>
      <c r="M18" s="43"/>
    </row>
    <row r="19" spans="2:13" ht="18.75" x14ac:dyDescent="0.3">
      <c r="B19" s="19">
        <v>2</v>
      </c>
      <c r="C19" s="4">
        <v>3000</v>
      </c>
      <c r="D19" s="57"/>
      <c r="E19" s="57"/>
      <c r="F19" s="57"/>
      <c r="G19" s="4">
        <f t="shared" ref="G19:G22" si="0">$E$24*10000</f>
        <v>1000</v>
      </c>
      <c r="H19" s="4">
        <f>H18-G19</f>
        <v>8000</v>
      </c>
      <c r="I19" s="4">
        <f t="shared" ref="I19:I21" si="1">C19-G19</f>
        <v>2000</v>
      </c>
      <c r="J19" s="4">
        <f t="shared" ref="J19:J22" si="2">35%*I19</f>
        <v>700</v>
      </c>
      <c r="K19" s="4">
        <f t="shared" ref="K19:K22" si="3">C19-J19</f>
        <v>2300</v>
      </c>
      <c r="L19" s="40"/>
      <c r="M19" s="43"/>
    </row>
    <row r="20" spans="2:13" ht="18.75" x14ac:dyDescent="0.3">
      <c r="B20" s="19">
        <v>3</v>
      </c>
      <c r="C20" s="4">
        <v>3000</v>
      </c>
      <c r="D20" s="57"/>
      <c r="E20" s="57"/>
      <c r="F20" s="57"/>
      <c r="G20" s="4">
        <f t="shared" si="0"/>
        <v>1000</v>
      </c>
      <c r="H20" s="4">
        <f t="shared" ref="H20:H22" si="4">H19-G20</f>
        <v>7000</v>
      </c>
      <c r="I20" s="4">
        <f t="shared" si="1"/>
        <v>2000</v>
      </c>
      <c r="J20" s="4">
        <f t="shared" si="2"/>
        <v>700</v>
      </c>
      <c r="K20" s="4">
        <f t="shared" si="3"/>
        <v>2300</v>
      </c>
      <c r="L20" s="40"/>
      <c r="M20" s="43"/>
    </row>
    <row r="21" spans="2:13" ht="18.75" x14ac:dyDescent="0.3">
      <c r="B21" s="19">
        <v>4</v>
      </c>
      <c r="C21" s="4">
        <v>3000</v>
      </c>
      <c r="D21" s="57"/>
      <c r="E21" s="57"/>
      <c r="F21" s="57"/>
      <c r="G21" s="4">
        <f t="shared" si="0"/>
        <v>1000</v>
      </c>
      <c r="H21" s="4">
        <f t="shared" si="4"/>
        <v>6000</v>
      </c>
      <c r="I21" s="4">
        <f t="shared" si="1"/>
        <v>2000</v>
      </c>
      <c r="J21" s="4">
        <f t="shared" si="2"/>
        <v>700</v>
      </c>
      <c r="K21" s="4">
        <f t="shared" si="3"/>
        <v>2300</v>
      </c>
      <c r="L21" s="40"/>
      <c r="M21" s="43"/>
    </row>
    <row r="22" spans="2:13" ht="18.75" x14ac:dyDescent="0.3">
      <c r="B22" s="19">
        <v>5</v>
      </c>
      <c r="C22" s="4">
        <f>3000+4000</f>
        <v>7000</v>
      </c>
      <c r="D22" s="57"/>
      <c r="E22" s="57"/>
      <c r="F22" s="57"/>
      <c r="G22" s="4">
        <f t="shared" si="0"/>
        <v>1000</v>
      </c>
      <c r="H22" s="32">
        <f t="shared" si="4"/>
        <v>5000</v>
      </c>
      <c r="I22" s="32">
        <f>C22-G22-H22</f>
        <v>1000</v>
      </c>
      <c r="J22" s="4">
        <f t="shared" si="2"/>
        <v>350</v>
      </c>
      <c r="K22" s="4">
        <f t="shared" si="3"/>
        <v>6650</v>
      </c>
      <c r="L22" s="40"/>
      <c r="M22" s="43"/>
    </row>
    <row r="23" spans="2:13" ht="18.75" x14ac:dyDescent="0.3">
      <c r="C23" s="5"/>
      <c r="D23" s="5"/>
      <c r="E23" s="5"/>
      <c r="G23" s="5"/>
      <c r="H23" s="5"/>
      <c r="I23" s="5"/>
      <c r="J23" s="5"/>
      <c r="K23" s="5"/>
      <c r="M23" s="45"/>
    </row>
    <row r="24" spans="2:13" ht="18.75" x14ac:dyDescent="0.3">
      <c r="B24" s="21" t="s">
        <v>19</v>
      </c>
      <c r="C24" s="25">
        <f>NPV(D14,C18:C22)+C17</f>
        <v>3856.0456004619609</v>
      </c>
      <c r="D24" s="58" t="s">
        <v>34</v>
      </c>
      <c r="E24" s="66">
        <v>0.1</v>
      </c>
      <c r="F24" s="21"/>
      <c r="G24" s="5"/>
      <c r="H24" s="5"/>
      <c r="I24" s="5"/>
      <c r="J24" s="21" t="s">
        <v>19</v>
      </c>
      <c r="K24" s="25">
        <f>NPV(D14,K18:K22)+K17</f>
        <v>1419.8173249467527</v>
      </c>
    </row>
    <row r="25" spans="2:13" ht="18.75" x14ac:dyDescent="0.3">
      <c r="B25" s="21" t="s">
        <v>20</v>
      </c>
      <c r="C25" s="24">
        <f>IRR(C17:C22)</f>
        <v>0.2229184893176348</v>
      </c>
      <c r="D25" s="58" t="s">
        <v>30</v>
      </c>
      <c r="E25" s="67">
        <f>100/10</f>
        <v>10</v>
      </c>
      <c r="F25" s="33" t="s">
        <v>31</v>
      </c>
      <c r="G25" s="5"/>
      <c r="H25" s="5"/>
      <c r="I25" s="5"/>
      <c r="J25" s="21" t="s">
        <v>20</v>
      </c>
      <c r="K25" s="24">
        <f>IRR(K17:K22)</f>
        <v>0.14544169535010099</v>
      </c>
    </row>
    <row r="30" spans="2:13" ht="26.25" x14ac:dyDescent="0.25">
      <c r="F30" s="20"/>
    </row>
    <row r="31" spans="2:13" ht="26.25" x14ac:dyDescent="0.25">
      <c r="F31" s="17"/>
    </row>
    <row r="34" spans="2:13" ht="18.75" x14ac:dyDescent="0.3">
      <c r="C34" s="2" t="s">
        <v>24</v>
      </c>
      <c r="D34" s="22">
        <v>0.1</v>
      </c>
    </row>
    <row r="35" spans="2:13" x14ac:dyDescent="0.25">
      <c r="K35" s="30" t="s">
        <v>33</v>
      </c>
      <c r="L35" s="30" t="s">
        <v>35</v>
      </c>
    </row>
    <row r="36" spans="2:13" ht="18.75" x14ac:dyDescent="0.3">
      <c r="B36" s="18" t="s">
        <v>11</v>
      </c>
      <c r="C36" s="18" t="s">
        <v>12</v>
      </c>
      <c r="D36" s="3" t="s">
        <v>3</v>
      </c>
      <c r="E36" s="3" t="s">
        <v>2</v>
      </c>
      <c r="F36" s="18" t="s">
        <v>13</v>
      </c>
      <c r="G36" s="18" t="s">
        <v>14</v>
      </c>
      <c r="H36" s="9" t="s">
        <v>15</v>
      </c>
      <c r="I36" s="18" t="s">
        <v>16</v>
      </c>
      <c r="J36" s="18" t="s">
        <v>17</v>
      </c>
      <c r="K36" s="18" t="s">
        <v>18</v>
      </c>
      <c r="L36" s="18" t="s">
        <v>18</v>
      </c>
      <c r="M36" s="18" t="s">
        <v>36</v>
      </c>
    </row>
    <row r="37" spans="2:13" ht="18.75" x14ac:dyDescent="0.3">
      <c r="B37" s="19">
        <v>0</v>
      </c>
      <c r="C37" s="38">
        <f>C17</f>
        <v>-10000</v>
      </c>
      <c r="D37" s="46"/>
      <c r="E37" s="46"/>
      <c r="F37" s="50">
        <f>C37+D50</f>
        <v>0</v>
      </c>
      <c r="G37" s="46"/>
      <c r="H37" s="46">
        <f>H17</f>
        <v>10000</v>
      </c>
      <c r="I37" s="46"/>
      <c r="J37" s="46"/>
      <c r="K37" s="46">
        <f>F37-J37</f>
        <v>0</v>
      </c>
      <c r="L37" s="38">
        <f>K17</f>
        <v>-10000</v>
      </c>
      <c r="M37" s="38">
        <f>L37-K37</f>
        <v>-10000</v>
      </c>
    </row>
    <row r="38" spans="2:13" ht="18.75" x14ac:dyDescent="0.3">
      <c r="B38" s="19">
        <v>1</v>
      </c>
      <c r="C38" s="46">
        <f t="shared" ref="C38:C42" si="5">C18</f>
        <v>3000</v>
      </c>
      <c r="D38" s="51">
        <f>F51</f>
        <v>2500</v>
      </c>
      <c r="E38" s="52">
        <f>G51</f>
        <v>1500</v>
      </c>
      <c r="F38" s="38">
        <f>C38-D38-E38</f>
        <v>-1000</v>
      </c>
      <c r="G38" s="46">
        <f>G18</f>
        <v>1000</v>
      </c>
      <c r="H38" s="46">
        <f t="shared" ref="H38:H42" si="6">H18</f>
        <v>9000</v>
      </c>
      <c r="I38" s="46">
        <f>C38-G38-E38</f>
        <v>500</v>
      </c>
      <c r="J38" s="46">
        <f>35%*I38</f>
        <v>175</v>
      </c>
      <c r="K38" s="38">
        <f t="shared" ref="K38:K42" si="7">F38-J38</f>
        <v>-1175</v>
      </c>
      <c r="L38" s="46">
        <f t="shared" ref="L38:L42" si="8">K18</f>
        <v>2300</v>
      </c>
      <c r="M38" s="46">
        <f t="shared" ref="M38:M42" si="9">L38-K38</f>
        <v>3475</v>
      </c>
    </row>
    <row r="39" spans="2:13" ht="18.75" x14ac:dyDescent="0.3">
      <c r="B39" s="19">
        <v>2</v>
      </c>
      <c r="C39" s="46">
        <f t="shared" si="5"/>
        <v>3000</v>
      </c>
      <c r="D39" s="51">
        <f t="shared" ref="D39:D41" si="10">F52</f>
        <v>2500</v>
      </c>
      <c r="E39" s="52">
        <f t="shared" ref="E39:E41" si="11">G52</f>
        <v>1125</v>
      </c>
      <c r="F39" s="38">
        <f t="shared" ref="F39:F42" si="12">C39-D39-E39</f>
        <v>-625</v>
      </c>
      <c r="G39" s="46">
        <f t="shared" ref="G39:G42" si="13">G19</f>
        <v>1000</v>
      </c>
      <c r="H39" s="46">
        <f t="shared" si="6"/>
        <v>8000</v>
      </c>
      <c r="I39" s="46">
        <f t="shared" ref="I39:I41" si="14">C39-G39-E39</f>
        <v>875</v>
      </c>
      <c r="J39" s="46">
        <f t="shared" ref="J39:J42" si="15">35%*I39</f>
        <v>306.25</v>
      </c>
      <c r="K39" s="38">
        <f t="shared" si="7"/>
        <v>-931.25</v>
      </c>
      <c r="L39" s="46">
        <f t="shared" si="8"/>
        <v>2300</v>
      </c>
      <c r="M39" s="46">
        <f t="shared" si="9"/>
        <v>3231.25</v>
      </c>
    </row>
    <row r="40" spans="2:13" ht="18.75" x14ac:dyDescent="0.3">
      <c r="B40" s="19">
        <v>3</v>
      </c>
      <c r="C40" s="46">
        <f t="shared" si="5"/>
        <v>3000</v>
      </c>
      <c r="D40" s="51">
        <f t="shared" si="10"/>
        <v>2500</v>
      </c>
      <c r="E40" s="52">
        <f t="shared" si="11"/>
        <v>750</v>
      </c>
      <c r="F40" s="38">
        <f t="shared" si="12"/>
        <v>-250</v>
      </c>
      <c r="G40" s="46">
        <f t="shared" si="13"/>
        <v>1000</v>
      </c>
      <c r="H40" s="46">
        <f t="shared" si="6"/>
        <v>7000</v>
      </c>
      <c r="I40" s="46">
        <f t="shared" si="14"/>
        <v>1250</v>
      </c>
      <c r="J40" s="46">
        <f t="shared" si="15"/>
        <v>437.5</v>
      </c>
      <c r="K40" s="38">
        <f t="shared" si="7"/>
        <v>-687.5</v>
      </c>
      <c r="L40" s="46">
        <f t="shared" si="8"/>
        <v>2300</v>
      </c>
      <c r="M40" s="46">
        <f t="shared" si="9"/>
        <v>2987.5</v>
      </c>
    </row>
    <row r="41" spans="2:13" ht="18.75" x14ac:dyDescent="0.3">
      <c r="B41" s="19">
        <v>4</v>
      </c>
      <c r="C41" s="46">
        <f t="shared" si="5"/>
        <v>3000</v>
      </c>
      <c r="D41" s="51">
        <f t="shared" si="10"/>
        <v>2500</v>
      </c>
      <c r="E41" s="52">
        <f t="shared" si="11"/>
        <v>375</v>
      </c>
      <c r="F41" s="46">
        <f t="shared" si="12"/>
        <v>125</v>
      </c>
      <c r="G41" s="46">
        <f t="shared" si="13"/>
        <v>1000</v>
      </c>
      <c r="H41" s="46">
        <f t="shared" si="6"/>
        <v>6000</v>
      </c>
      <c r="I41" s="46">
        <f t="shared" si="14"/>
        <v>1625</v>
      </c>
      <c r="J41" s="46">
        <f t="shared" si="15"/>
        <v>568.75</v>
      </c>
      <c r="K41" s="38">
        <f t="shared" si="7"/>
        <v>-443.75</v>
      </c>
      <c r="L41" s="46">
        <f t="shared" si="8"/>
        <v>2300</v>
      </c>
      <c r="M41" s="46">
        <f t="shared" si="9"/>
        <v>2743.75</v>
      </c>
    </row>
    <row r="42" spans="2:13" ht="18.75" x14ac:dyDescent="0.3">
      <c r="B42" s="19">
        <v>5</v>
      </c>
      <c r="C42" s="46">
        <f t="shared" si="5"/>
        <v>7000</v>
      </c>
      <c r="D42" s="51">
        <v>0</v>
      </c>
      <c r="E42" s="51">
        <v>0</v>
      </c>
      <c r="F42" s="46">
        <f t="shared" si="12"/>
        <v>7000</v>
      </c>
      <c r="G42" s="46">
        <f t="shared" si="13"/>
        <v>1000</v>
      </c>
      <c r="H42" s="50">
        <f t="shared" si="6"/>
        <v>5000</v>
      </c>
      <c r="I42" s="50">
        <f>C42-G42-E42-H42</f>
        <v>1000</v>
      </c>
      <c r="J42" s="46">
        <f t="shared" si="15"/>
        <v>350</v>
      </c>
      <c r="K42" s="46">
        <f t="shared" si="7"/>
        <v>6650</v>
      </c>
      <c r="L42" s="46">
        <f t="shared" si="8"/>
        <v>6650</v>
      </c>
      <c r="M42" s="46">
        <f t="shared" si="9"/>
        <v>0</v>
      </c>
    </row>
    <row r="43" spans="2:13" ht="18.75" x14ac:dyDescent="0.3">
      <c r="C43" s="47"/>
    </row>
    <row r="44" spans="2:13" ht="18.75" x14ac:dyDescent="0.3">
      <c r="B44" s="21" t="s">
        <v>19</v>
      </c>
      <c r="C44" s="48">
        <f>C24</f>
        <v>3856.0456004619609</v>
      </c>
      <c r="J44" s="21" t="s">
        <v>19</v>
      </c>
      <c r="K44" s="68">
        <f>NPV(D34,K38:K42)+K37</f>
        <v>1471.7007345499239</v>
      </c>
      <c r="L44" s="68">
        <f>NPV(D34,L38:L42)+L37</f>
        <v>1419.8173249467527</v>
      </c>
    </row>
    <row r="45" spans="2:13" ht="18.75" x14ac:dyDescent="0.3">
      <c r="B45" s="21" t="s">
        <v>20</v>
      </c>
      <c r="C45" s="49">
        <f>C25</f>
        <v>0.2229184893176348</v>
      </c>
      <c r="J45" s="21" t="s">
        <v>20</v>
      </c>
      <c r="K45" s="64">
        <f>IRR(K37:K42)</f>
        <v>0.27081491292122761</v>
      </c>
      <c r="L45" s="69">
        <f>IRR(L37:L42)</f>
        <v>0.14544169535010099</v>
      </c>
      <c r="M45" s="69">
        <f>IRR(M37:M42)</f>
        <v>9.7500000000149578E-2</v>
      </c>
    </row>
    <row r="47" spans="2:13" ht="18.75" x14ac:dyDescent="0.3">
      <c r="C47" s="61" t="s">
        <v>21</v>
      </c>
      <c r="D47" s="2" t="s">
        <v>6</v>
      </c>
      <c r="E47" s="35">
        <v>0.15</v>
      </c>
      <c r="F47" s="5" t="s">
        <v>22</v>
      </c>
    </row>
    <row r="49" spans="2:11" ht="18.75" x14ac:dyDescent="0.3">
      <c r="C49" s="3" t="s">
        <v>4</v>
      </c>
      <c r="D49" s="3" t="s">
        <v>0</v>
      </c>
      <c r="E49" s="3" t="s">
        <v>1</v>
      </c>
      <c r="F49" s="3" t="s">
        <v>3</v>
      </c>
      <c r="G49" s="3" t="s">
        <v>2</v>
      </c>
    </row>
    <row r="50" spans="2:11" ht="18.75" x14ac:dyDescent="0.3">
      <c r="C50" s="3">
        <v>0</v>
      </c>
      <c r="D50" s="4">
        <v>10000</v>
      </c>
      <c r="E50" s="4"/>
      <c r="F50" s="4"/>
      <c r="G50" s="4"/>
    </row>
    <row r="51" spans="2:11" ht="18.75" x14ac:dyDescent="0.3">
      <c r="C51" s="3">
        <v>1</v>
      </c>
      <c r="D51" s="4">
        <f>D50-F51</f>
        <v>7500</v>
      </c>
      <c r="E51" s="6">
        <f>F51+G51</f>
        <v>4000</v>
      </c>
      <c r="F51" s="6">
        <f>$D$50/4</f>
        <v>2500</v>
      </c>
      <c r="G51" s="4">
        <f>$E$47*D50</f>
        <v>1500</v>
      </c>
    </row>
    <row r="52" spans="2:11" ht="18.75" x14ac:dyDescent="0.3">
      <c r="C52" s="3">
        <v>2</v>
      </c>
      <c r="D52" s="4">
        <f t="shared" ref="D52:D54" si="16">D51-F52</f>
        <v>5000</v>
      </c>
      <c r="E52" s="6">
        <f t="shared" ref="E52:E54" si="17">F52+G52</f>
        <v>3625</v>
      </c>
      <c r="F52" s="6">
        <f t="shared" ref="F52:F54" si="18">$D$50/4</f>
        <v>2500</v>
      </c>
      <c r="G52" s="4">
        <f t="shared" ref="G52:G54" si="19">$E$47*D51</f>
        <v>1125</v>
      </c>
    </row>
    <row r="53" spans="2:11" ht="18.75" x14ac:dyDescent="0.3">
      <c r="C53" s="3">
        <v>3</v>
      </c>
      <c r="D53" s="4">
        <f t="shared" si="16"/>
        <v>2500</v>
      </c>
      <c r="E53" s="6">
        <f t="shared" si="17"/>
        <v>3250</v>
      </c>
      <c r="F53" s="6">
        <f t="shared" si="18"/>
        <v>2500</v>
      </c>
      <c r="G53" s="4">
        <f t="shared" si="19"/>
        <v>750</v>
      </c>
    </row>
    <row r="54" spans="2:11" ht="18.75" x14ac:dyDescent="0.3">
      <c r="C54" s="9">
        <v>4</v>
      </c>
      <c r="D54" s="32">
        <f t="shared" si="16"/>
        <v>0</v>
      </c>
      <c r="E54" s="6">
        <f t="shared" si="17"/>
        <v>2875</v>
      </c>
      <c r="F54" s="6">
        <f t="shared" si="18"/>
        <v>2500</v>
      </c>
      <c r="G54" s="4">
        <f t="shared" si="19"/>
        <v>375</v>
      </c>
    </row>
    <row r="55" spans="2:11" x14ac:dyDescent="0.25">
      <c r="E55" s="39">
        <f>NPV(E47,E51:E54)</f>
        <v>10000</v>
      </c>
    </row>
    <row r="60" spans="2:11" ht="18.75" x14ac:dyDescent="0.3">
      <c r="C60" s="2" t="s">
        <v>24</v>
      </c>
      <c r="D60" s="22">
        <v>0.1</v>
      </c>
    </row>
    <row r="62" spans="2:11" ht="18.75" x14ac:dyDescent="0.3">
      <c r="B62" s="18" t="s">
        <v>11</v>
      </c>
      <c r="C62" s="18" t="s">
        <v>12</v>
      </c>
      <c r="D62" s="3" t="s">
        <v>3</v>
      </c>
      <c r="E62" s="3" t="s">
        <v>2</v>
      </c>
      <c r="F62" s="18" t="s">
        <v>13</v>
      </c>
      <c r="G62" s="18" t="s">
        <v>14</v>
      </c>
      <c r="H62" s="9" t="s">
        <v>15</v>
      </c>
      <c r="I62" s="18" t="s">
        <v>16</v>
      </c>
      <c r="J62" s="18" t="s">
        <v>17</v>
      </c>
      <c r="K62" s="18" t="s">
        <v>18</v>
      </c>
    </row>
    <row r="63" spans="2:11" ht="18.75" x14ac:dyDescent="0.3">
      <c r="B63" s="19">
        <v>0</v>
      </c>
      <c r="C63" s="4">
        <f>C37</f>
        <v>-10000</v>
      </c>
      <c r="D63" s="4"/>
      <c r="E63" s="4"/>
      <c r="F63" s="32">
        <f>C63+D76</f>
        <v>0</v>
      </c>
      <c r="G63" s="4"/>
      <c r="H63" s="4">
        <f>H37</f>
        <v>10000</v>
      </c>
      <c r="I63" s="4"/>
      <c r="J63" s="4"/>
      <c r="K63" s="4">
        <f>F63-J63</f>
        <v>0</v>
      </c>
    </row>
    <row r="64" spans="2:11" ht="18.75" x14ac:dyDescent="0.3">
      <c r="B64" s="19">
        <v>1</v>
      </c>
      <c r="C64" s="4">
        <f t="shared" ref="C64:C68" si="20">C38</f>
        <v>3000</v>
      </c>
      <c r="D64" s="6">
        <f>F77</f>
        <v>2002.6535159085788</v>
      </c>
      <c r="E64" s="6">
        <f>G77</f>
        <v>1500</v>
      </c>
      <c r="F64" s="38">
        <f>C64-D64-E64</f>
        <v>-502.65351590857881</v>
      </c>
      <c r="G64" s="4">
        <f>G38</f>
        <v>1000</v>
      </c>
      <c r="H64" s="4">
        <f t="shared" ref="H64:H68" si="21">H38</f>
        <v>9000</v>
      </c>
      <c r="I64" s="4">
        <f>C64-E64-G64</f>
        <v>500</v>
      </c>
      <c r="J64" s="4">
        <f>0.35*I64</f>
        <v>175</v>
      </c>
      <c r="K64" s="38">
        <f t="shared" ref="K64:K68" si="22">F64-J64</f>
        <v>-677.65351590857881</v>
      </c>
    </row>
    <row r="65" spans="2:11" ht="18.75" x14ac:dyDescent="0.3">
      <c r="B65" s="19">
        <v>2</v>
      </c>
      <c r="C65" s="4">
        <f t="shared" si="20"/>
        <v>3000</v>
      </c>
      <c r="D65" s="6">
        <f t="shared" ref="D65:E67" si="23">F78</f>
        <v>2303.051543294866</v>
      </c>
      <c r="E65" s="6">
        <f t="shared" si="23"/>
        <v>1199.6019726137131</v>
      </c>
      <c r="F65" s="38">
        <f t="shared" ref="F65:F68" si="24">C65-D65-E65</f>
        <v>-502.65351590857904</v>
      </c>
      <c r="G65" s="4">
        <f t="shared" ref="G65:G68" si="25">G39</f>
        <v>1000</v>
      </c>
      <c r="H65" s="4">
        <f t="shared" si="21"/>
        <v>8000</v>
      </c>
      <c r="I65" s="4">
        <f t="shared" ref="I65:I67" si="26">C65-E65-G65</f>
        <v>800.39802738628691</v>
      </c>
      <c r="J65" s="4">
        <f t="shared" ref="J65:J68" si="27">0.35*I65</f>
        <v>280.13930958520041</v>
      </c>
      <c r="K65" s="38">
        <f t="shared" si="22"/>
        <v>-782.79282549377945</v>
      </c>
    </row>
    <row r="66" spans="2:11" ht="18.75" x14ac:dyDescent="0.3">
      <c r="B66" s="19">
        <v>3</v>
      </c>
      <c r="C66" s="4">
        <f t="shared" si="20"/>
        <v>3000</v>
      </c>
      <c r="D66" s="6">
        <f t="shared" si="23"/>
        <v>2648.5092747890958</v>
      </c>
      <c r="E66" s="6">
        <f t="shared" si="23"/>
        <v>854.14424111948324</v>
      </c>
      <c r="F66" s="38">
        <f t="shared" si="24"/>
        <v>-502.65351590857904</v>
      </c>
      <c r="G66" s="4">
        <f t="shared" si="25"/>
        <v>1000</v>
      </c>
      <c r="H66" s="4">
        <f t="shared" si="21"/>
        <v>7000</v>
      </c>
      <c r="I66" s="4">
        <f t="shared" si="26"/>
        <v>1145.855758880517</v>
      </c>
      <c r="J66" s="4">
        <f t="shared" si="27"/>
        <v>401.04951560818091</v>
      </c>
      <c r="K66" s="38">
        <f t="shared" si="22"/>
        <v>-903.70303151675989</v>
      </c>
    </row>
    <row r="67" spans="2:11" ht="18.75" x14ac:dyDescent="0.3">
      <c r="B67" s="19">
        <v>4</v>
      </c>
      <c r="C67" s="4">
        <f t="shared" si="20"/>
        <v>3000</v>
      </c>
      <c r="D67" s="6">
        <f t="shared" si="23"/>
        <v>3045.7856660074599</v>
      </c>
      <c r="E67" s="6">
        <f t="shared" si="23"/>
        <v>456.86784990111892</v>
      </c>
      <c r="F67" s="38">
        <f t="shared" si="24"/>
        <v>-502.65351590857881</v>
      </c>
      <c r="G67" s="4">
        <f t="shared" si="25"/>
        <v>1000</v>
      </c>
      <c r="H67" s="4">
        <f t="shared" si="21"/>
        <v>6000</v>
      </c>
      <c r="I67" s="4">
        <f t="shared" si="26"/>
        <v>1543.1321500988811</v>
      </c>
      <c r="J67" s="4">
        <f t="shared" si="27"/>
        <v>540.09625253460831</v>
      </c>
      <c r="K67" s="38">
        <f t="shared" si="22"/>
        <v>-1042.7497684431871</v>
      </c>
    </row>
    <row r="68" spans="2:11" ht="18.75" x14ac:dyDescent="0.3">
      <c r="B68" s="19">
        <v>5</v>
      </c>
      <c r="C68" s="4">
        <f t="shared" si="20"/>
        <v>7000</v>
      </c>
      <c r="D68" s="6"/>
      <c r="E68" s="4"/>
      <c r="F68" s="4">
        <f t="shared" si="24"/>
        <v>7000</v>
      </c>
      <c r="G68" s="4">
        <f t="shared" si="25"/>
        <v>1000</v>
      </c>
      <c r="H68" s="32">
        <f t="shared" si="21"/>
        <v>5000</v>
      </c>
      <c r="I68" s="32">
        <f>C68-E68-G68-H68</f>
        <v>1000</v>
      </c>
      <c r="J68" s="4">
        <f t="shared" si="27"/>
        <v>350</v>
      </c>
      <c r="K68" s="4">
        <f t="shared" si="22"/>
        <v>6650</v>
      </c>
    </row>
    <row r="70" spans="2:11" ht="18.75" x14ac:dyDescent="0.3">
      <c r="B70" s="21" t="s">
        <v>19</v>
      </c>
      <c r="C70" s="25">
        <f>C44</f>
        <v>3856.0456004619609</v>
      </c>
      <c r="J70" s="21" t="s">
        <v>19</v>
      </c>
      <c r="K70" s="68">
        <f>NPV(D60,K64:K68)+K63</f>
        <v>1474.9643424773783</v>
      </c>
    </row>
    <row r="71" spans="2:11" ht="18.75" x14ac:dyDescent="0.3">
      <c r="B71" s="21" t="s">
        <v>20</v>
      </c>
      <c r="C71" s="24">
        <f>C45</f>
        <v>0.2229184893176348</v>
      </c>
      <c r="J71" s="21" t="s">
        <v>20</v>
      </c>
      <c r="K71" s="24">
        <f>IRR(K63:K68)</f>
        <v>0.30834822876152757</v>
      </c>
    </row>
    <row r="73" spans="2:11" ht="18.75" x14ac:dyDescent="0.3">
      <c r="C73" s="2" t="s">
        <v>23</v>
      </c>
      <c r="D73" s="2" t="s">
        <v>6</v>
      </c>
      <c r="E73" s="22">
        <v>0.15</v>
      </c>
      <c r="F73" s="5" t="s">
        <v>22</v>
      </c>
    </row>
    <row r="75" spans="2:11" ht="18.75" x14ac:dyDescent="0.3">
      <c r="C75" s="3" t="s">
        <v>4</v>
      </c>
      <c r="D75" s="3" t="s">
        <v>0</v>
      </c>
      <c r="E75" s="3" t="s">
        <v>1</v>
      </c>
      <c r="F75" s="3" t="s">
        <v>3</v>
      </c>
      <c r="G75" s="3" t="s">
        <v>2</v>
      </c>
    </row>
    <row r="76" spans="2:11" ht="18.75" x14ac:dyDescent="0.3">
      <c r="C76" s="3">
        <v>0</v>
      </c>
      <c r="D76" s="4">
        <f>D50</f>
        <v>10000</v>
      </c>
      <c r="E76" s="4"/>
      <c r="F76" s="4"/>
      <c r="G76" s="4"/>
    </row>
    <row r="77" spans="2:11" ht="18.75" x14ac:dyDescent="0.3">
      <c r="C77" s="3">
        <v>1</v>
      </c>
      <c r="D77" s="4">
        <f>D76-F77</f>
        <v>7997.3464840914212</v>
      </c>
      <c r="E77" s="6">
        <f>PMT($E$73,4,-$D$76)</f>
        <v>3502.6535159085788</v>
      </c>
      <c r="F77" s="6">
        <f>E77-G77</f>
        <v>2002.6535159085788</v>
      </c>
      <c r="G77" s="4">
        <f>$E$73*D76</f>
        <v>1500</v>
      </c>
    </row>
    <row r="78" spans="2:11" ht="18.75" x14ac:dyDescent="0.3">
      <c r="C78" s="3">
        <v>2</v>
      </c>
      <c r="D78" s="4">
        <f t="shared" ref="D78:D80" si="28">D77-F78</f>
        <v>5694.2949407965552</v>
      </c>
      <c r="E78" s="6">
        <f t="shared" ref="E78:E80" si="29">PMT($E$73,4,-$D$76)</f>
        <v>3502.6535159085788</v>
      </c>
      <c r="F78" s="6">
        <f t="shared" ref="F78:F80" si="30">E78-G78</f>
        <v>2303.051543294866</v>
      </c>
      <c r="G78" s="4">
        <f t="shared" ref="G78:G80" si="31">$E$73*D77</f>
        <v>1199.6019726137131</v>
      </c>
    </row>
    <row r="79" spans="2:11" ht="18.75" x14ac:dyDescent="0.3">
      <c r="C79" s="3">
        <v>3</v>
      </c>
      <c r="D79" s="4">
        <f t="shared" si="28"/>
        <v>3045.7856660074594</v>
      </c>
      <c r="E79" s="6">
        <f t="shared" si="29"/>
        <v>3502.6535159085788</v>
      </c>
      <c r="F79" s="6">
        <f t="shared" si="30"/>
        <v>2648.5092747890958</v>
      </c>
      <c r="G79" s="4">
        <f t="shared" si="31"/>
        <v>854.14424111948324</v>
      </c>
    </row>
    <row r="80" spans="2:11" ht="18.75" x14ac:dyDescent="0.3">
      <c r="C80" s="9">
        <v>4</v>
      </c>
      <c r="D80" s="4">
        <f t="shared" si="28"/>
        <v>0</v>
      </c>
      <c r="E80" s="6">
        <f t="shared" si="29"/>
        <v>3502.6535159085788</v>
      </c>
      <c r="F80" s="6">
        <f t="shared" si="30"/>
        <v>3045.7856660074599</v>
      </c>
      <c r="G80" s="4">
        <f t="shared" si="31"/>
        <v>456.86784990111892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4:R37"/>
  <sheetViews>
    <sheetView zoomScale="90" zoomScaleNormal="90" workbookViewId="0">
      <selection activeCell="N30" sqref="N30"/>
    </sheetView>
  </sheetViews>
  <sheetFormatPr defaultColWidth="9.140625" defaultRowHeight="21" x14ac:dyDescent="0.35"/>
  <cols>
    <col min="1" max="11" width="9.140625" style="1"/>
    <col min="12" max="12" width="9.140625" style="11"/>
    <col min="13" max="13" width="13.85546875" style="11" bestFit="1" customWidth="1"/>
    <col min="14" max="14" width="21.42578125" style="11" customWidth="1"/>
    <col min="15" max="17" width="14.42578125" style="11" bestFit="1" customWidth="1"/>
    <col min="18" max="18" width="9.140625" style="11"/>
    <col min="19" max="16384" width="9.140625" style="1"/>
  </cols>
  <sheetData>
    <row r="4" spans="14:14" x14ac:dyDescent="0.35">
      <c r="N4" s="12"/>
    </row>
    <row r="5" spans="14:14" x14ac:dyDescent="0.35">
      <c r="N5" s="13"/>
    </row>
    <row r="7" spans="14:14" x14ac:dyDescent="0.35">
      <c r="N7" s="14"/>
    </row>
    <row r="11" spans="14:14" x14ac:dyDescent="0.35">
      <c r="N11" s="12"/>
    </row>
    <row r="12" spans="14:14" x14ac:dyDescent="0.35">
      <c r="N12" s="15"/>
    </row>
    <row r="14" spans="14:14" x14ac:dyDescent="0.35">
      <c r="N14" s="14"/>
    </row>
    <row r="17" spans="14:16" x14ac:dyDescent="0.35">
      <c r="N17" s="12"/>
    </row>
    <row r="18" spans="14:16" x14ac:dyDescent="0.35">
      <c r="N18" s="13"/>
    </row>
    <row r="19" spans="14:16" x14ac:dyDescent="0.35">
      <c r="N19" s="16"/>
    </row>
    <row r="20" spans="14:16" x14ac:dyDescent="0.35">
      <c r="N20" s="14"/>
    </row>
    <row r="24" spans="14:16" x14ac:dyDescent="0.35">
      <c r="N24" s="12"/>
    </row>
    <row r="25" spans="14:16" x14ac:dyDescent="0.35">
      <c r="N25" s="15"/>
    </row>
    <row r="28" spans="14:16" x14ac:dyDescent="0.35">
      <c r="N28" s="14"/>
    </row>
    <row r="31" spans="14:16" x14ac:dyDescent="0.35">
      <c r="P31" s="13"/>
    </row>
    <row r="36" spans="14:16" x14ac:dyDescent="0.35">
      <c r="N36" s="12"/>
      <c r="O36" s="12"/>
      <c r="P36" s="12"/>
    </row>
    <row r="37" spans="14:16" x14ac:dyDescent="0.35">
      <c r="N37" s="13"/>
      <c r="O37" s="13"/>
      <c r="P37" s="1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SF</vt:lpstr>
      <vt:lpstr>FCIV</vt:lpstr>
      <vt:lpstr>FCV</vt:lpstr>
      <vt:lpstr>Ex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Rafael</cp:lastModifiedBy>
  <dcterms:created xsi:type="dcterms:W3CDTF">2016-06-10T13:34:13Z</dcterms:created>
  <dcterms:modified xsi:type="dcterms:W3CDTF">2020-06-15T12:55:10Z</dcterms:modified>
</cp:coreProperties>
</file>