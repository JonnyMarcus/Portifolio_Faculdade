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an\Desktop\"/>
    </mc:Choice>
  </mc:AlternateContent>
  <xr:revisionPtr revIDLastSave="0" documentId="8_{97FF094A-5E80-4BB4-9163-446661776D65}" xr6:coauthVersionLast="47" xr6:coauthVersionMax="47" xr10:uidLastSave="{00000000-0000-0000-0000-000000000000}"/>
  <bookViews>
    <workbookView xWindow="-28908" yWindow="-108" windowWidth="29016" windowHeight="15816" xr2:uid="{00000000-000D-0000-FFFF-FFFF00000000}"/>
  </bookViews>
  <sheets>
    <sheet name="EX1" sheetId="1" r:id="rId1"/>
    <sheet name="Ex2" sheetId="2" r:id="rId2"/>
    <sheet name="EX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2" l="1"/>
  <c r="O26" i="2"/>
  <c r="P26" i="2" s="1"/>
  <c r="O6" i="2"/>
  <c r="Q6" i="2" s="1"/>
  <c r="R6" i="2" s="1"/>
  <c r="S6" i="2" s="1"/>
  <c r="N37" i="2"/>
  <c r="N35" i="2"/>
  <c r="Q35" i="2" s="1"/>
  <c r="R35" i="2" s="1"/>
  <c r="S35" i="2" s="1"/>
  <c r="N26" i="2"/>
  <c r="N27" i="2"/>
  <c r="Q27" i="2" s="1"/>
  <c r="R27" i="2" s="1"/>
  <c r="S27" i="2" s="1"/>
  <c r="N28" i="2"/>
  <c r="N29" i="2"/>
  <c r="N30" i="2"/>
  <c r="Q30" i="2" s="1"/>
  <c r="R30" i="2" s="1"/>
  <c r="N31" i="2"/>
  <c r="N32" i="2"/>
  <c r="N33" i="2"/>
  <c r="Q33" i="2" s="1"/>
  <c r="R33" i="2" s="1"/>
  <c r="S33" i="2" s="1"/>
  <c r="N34" i="2"/>
  <c r="N25" i="2"/>
  <c r="S25" i="2" s="1"/>
  <c r="P21" i="2"/>
  <c r="S5" i="2"/>
  <c r="R11" i="2"/>
  <c r="S11" i="2" s="1"/>
  <c r="R12" i="2"/>
  <c r="S12" i="2" s="1"/>
  <c r="Q9" i="2"/>
  <c r="R9" i="2" s="1"/>
  <c r="S9" i="2" s="1"/>
  <c r="Q10" i="2"/>
  <c r="R10" i="2" s="1"/>
  <c r="S10" i="2" s="1"/>
  <c r="Q11" i="2"/>
  <c r="Q12" i="2"/>
  <c r="Q13" i="2"/>
  <c r="R13" i="2" s="1"/>
  <c r="S13" i="2" s="1"/>
  <c r="Q14" i="2"/>
  <c r="R14" i="2" s="1"/>
  <c r="S14" i="2" s="1"/>
  <c r="P6" i="2"/>
  <c r="O7" i="2"/>
  <c r="Q7" i="2" s="1"/>
  <c r="R7" i="2" s="1"/>
  <c r="S7" i="2" s="1"/>
  <c r="O8" i="2"/>
  <c r="Q8" i="2" s="1"/>
  <c r="R8" i="2" s="1"/>
  <c r="S8" i="2" s="1"/>
  <c r="O9" i="2"/>
  <c r="N17" i="2"/>
  <c r="Y51" i="4"/>
  <c r="T53" i="4"/>
  <c r="T54" i="4"/>
  <c r="T55" i="4"/>
  <c r="T56" i="4"/>
  <c r="W56" i="4" s="1"/>
  <c r="X56" i="4" s="1"/>
  <c r="T52" i="4"/>
  <c r="T58" i="4" s="1"/>
  <c r="V39" i="4"/>
  <c r="V40" i="4" s="1"/>
  <c r="V41" i="4" s="1"/>
  <c r="V42" i="4" s="1"/>
  <c r="V43" i="4" s="1"/>
  <c r="U40" i="4"/>
  <c r="W40" i="4" s="1"/>
  <c r="X40" i="4" s="1"/>
  <c r="Y40" i="4" s="1"/>
  <c r="U41" i="4"/>
  <c r="U42" i="4"/>
  <c r="U43" i="4"/>
  <c r="U39" i="4"/>
  <c r="T43" i="4"/>
  <c r="T40" i="4"/>
  <c r="T41" i="4"/>
  <c r="T42" i="4"/>
  <c r="T39" i="4"/>
  <c r="W39" i="4" s="1"/>
  <c r="X39" i="4" s="1"/>
  <c r="T38" i="4"/>
  <c r="T45" i="4" s="1"/>
  <c r="Y38" i="4" l="1"/>
  <c r="P7" i="2"/>
  <c r="P8" i="2" s="1"/>
  <c r="P9" i="2" s="1"/>
  <c r="P10" i="2" s="1"/>
  <c r="P11" i="2" s="1"/>
  <c r="P12" i="2" s="1"/>
  <c r="P13" i="2" s="1"/>
  <c r="P14" i="2" s="1"/>
  <c r="P15" i="2" s="1"/>
  <c r="Q15" i="2" s="1"/>
  <c r="R15" i="2" s="1"/>
  <c r="S15" i="2" s="1"/>
  <c r="W43" i="4"/>
  <c r="X43" i="4" s="1"/>
  <c r="Y43" i="4" s="1"/>
  <c r="S30" i="2"/>
  <c r="S17" i="2"/>
  <c r="Y39" i="4"/>
  <c r="S26" i="2"/>
  <c r="W42" i="4"/>
  <c r="X42" i="4" s="1"/>
  <c r="Y42" i="4" s="1"/>
  <c r="Q32" i="2"/>
  <c r="R32" i="2" s="1"/>
  <c r="S32" i="2" s="1"/>
  <c r="W41" i="4"/>
  <c r="X41" i="4" s="1"/>
  <c r="Y41" i="4" s="1"/>
  <c r="Q31" i="2"/>
  <c r="R31" i="2" s="1"/>
  <c r="S31" i="2" s="1"/>
  <c r="Q29" i="2"/>
  <c r="R29" i="2" s="1"/>
  <c r="S29" i="2" s="1"/>
  <c r="Q26" i="2"/>
  <c r="R26" i="2" s="1"/>
  <c r="Q28" i="2"/>
  <c r="R28" i="2" s="1"/>
  <c r="S28" i="2" s="1"/>
  <c r="Q34" i="2"/>
  <c r="R34" i="2" s="1"/>
  <c r="S34" i="2" s="1"/>
  <c r="P27" i="2"/>
  <c r="P28" i="2" s="1"/>
  <c r="P29" i="2" s="1"/>
  <c r="P30" i="2" s="1"/>
  <c r="P31" i="2" s="1"/>
  <c r="P32" i="2" s="1"/>
  <c r="P33" i="2" s="1"/>
  <c r="P34" i="2" s="1"/>
  <c r="P35" i="2" s="1"/>
  <c r="W55" i="4"/>
  <c r="X55" i="4" s="1"/>
  <c r="Y55" i="4" s="1"/>
  <c r="W54" i="4"/>
  <c r="X54" i="4" s="1"/>
  <c r="Y54" i="4" s="1"/>
  <c r="Y56" i="4"/>
  <c r="W53" i="4"/>
  <c r="X53" i="4" s="1"/>
  <c r="Y53" i="4" s="1"/>
  <c r="W52" i="4"/>
  <c r="X52" i="4" s="1"/>
  <c r="Y52" i="4" s="1"/>
  <c r="U23" i="4"/>
  <c r="U24" i="4"/>
  <c r="U25" i="4"/>
  <c r="U26" i="4"/>
  <c r="U22" i="4"/>
  <c r="V22" i="4" s="1"/>
  <c r="V23" i="4" s="1"/>
  <c r="P28" i="4"/>
  <c r="T26" i="4"/>
  <c r="T23" i="4"/>
  <c r="T24" i="4"/>
  <c r="T25" i="4"/>
  <c r="W25" i="4" s="1"/>
  <c r="X25" i="4" s="1"/>
  <c r="T22" i="4"/>
  <c r="T21" i="4"/>
  <c r="Y21" i="4" s="1"/>
  <c r="R20" i="1"/>
  <c r="R19" i="1"/>
  <c r="R18" i="1"/>
  <c r="S18" i="1" s="1"/>
  <c r="S26" i="1"/>
  <c r="Q18" i="1"/>
  <c r="Q19" i="1"/>
  <c r="Q20" i="1"/>
  <c r="Q21" i="1"/>
  <c r="Q17" i="1"/>
  <c r="V17" i="1" s="1"/>
  <c r="V3" i="1"/>
  <c r="T4" i="1"/>
  <c r="U4" i="1" s="1"/>
  <c r="V4" i="1" s="1"/>
  <c r="R4" i="1"/>
  <c r="S4" i="1" s="1"/>
  <c r="R5" i="1"/>
  <c r="T5" i="1" s="1"/>
  <c r="U5" i="1" s="1"/>
  <c r="V5" i="1" s="1"/>
  <c r="R6" i="1"/>
  <c r="T6" i="1" s="1"/>
  <c r="U6" i="1" s="1"/>
  <c r="V6" i="1" s="1"/>
  <c r="R7" i="1"/>
  <c r="T7" i="1" s="1"/>
  <c r="U7" i="1" s="1"/>
  <c r="V7" i="1" s="1"/>
  <c r="R8" i="1"/>
  <c r="S12" i="1"/>
  <c r="Q11" i="1"/>
  <c r="Q10" i="1"/>
  <c r="Q24" i="1" s="1"/>
  <c r="Q8" i="1"/>
  <c r="Q22" i="1" s="1"/>
  <c r="S5" i="1" l="1"/>
  <c r="S6" i="1" s="1"/>
  <c r="S7" i="1" s="1"/>
  <c r="S8" i="1" s="1"/>
  <c r="T8" i="1" s="1"/>
  <c r="U8" i="1" s="1"/>
  <c r="V8" i="1" s="1"/>
  <c r="V11" i="1" s="1"/>
  <c r="W24" i="4"/>
  <c r="X24" i="4" s="1"/>
  <c r="S19" i="1"/>
  <c r="S20" i="1" s="1"/>
  <c r="T18" i="1"/>
  <c r="U18" i="1" s="1"/>
  <c r="V18" i="1" s="1"/>
  <c r="V24" i="4"/>
  <c r="V25" i="4" s="1"/>
  <c r="V26" i="4" s="1"/>
  <c r="T22" i="1"/>
  <c r="U22" i="1" s="1"/>
  <c r="V22" i="1" s="1"/>
  <c r="S37" i="2"/>
  <c r="W26" i="4"/>
  <c r="X26" i="4" s="1"/>
  <c r="Y26" i="4" s="1"/>
  <c r="Y45" i="4"/>
  <c r="T21" i="1"/>
  <c r="U21" i="1" s="1"/>
  <c r="V21" i="1" s="1"/>
  <c r="T20" i="1"/>
  <c r="U20" i="1" s="1"/>
  <c r="V20" i="1" s="1"/>
  <c r="W22" i="4"/>
  <c r="X22" i="4" s="1"/>
  <c r="Y22" i="4" s="1"/>
  <c r="T19" i="1"/>
  <c r="U19" i="1" s="1"/>
  <c r="V19" i="1" s="1"/>
  <c r="Y58" i="4"/>
  <c r="Y25" i="4"/>
  <c r="W23" i="4"/>
  <c r="X23" i="4" s="1"/>
  <c r="Y23" i="4" s="1"/>
  <c r="Y24" i="4"/>
  <c r="T28" i="4"/>
  <c r="V25" i="1" l="1"/>
  <c r="V24" i="1"/>
  <c r="V10" i="1"/>
  <c r="Y28" i="4"/>
</calcChain>
</file>

<file path=xl/sharedStrings.xml><?xml version="1.0" encoding="utf-8"?>
<sst xmlns="http://schemas.openxmlformats.org/spreadsheetml/2006/main" count="118" uniqueCount="38">
  <si>
    <t>Data</t>
  </si>
  <si>
    <t>FCAIR</t>
  </si>
  <si>
    <t>d</t>
  </si>
  <si>
    <t>IR</t>
  </si>
  <si>
    <t>TMA</t>
  </si>
  <si>
    <t>Depreciação</t>
  </si>
  <si>
    <t>Valor Contábil</t>
  </si>
  <si>
    <t>Lucro Tributável</t>
  </si>
  <si>
    <t>FCDIR</t>
  </si>
  <si>
    <t>TIR</t>
  </si>
  <si>
    <t>Valor contabil</t>
  </si>
  <si>
    <t>Investimento</t>
  </si>
  <si>
    <t>Valor residual</t>
  </si>
  <si>
    <t>Valor do aluguel</t>
  </si>
  <si>
    <t>Franquia</t>
  </si>
  <si>
    <t>VPL</t>
  </si>
  <si>
    <t>Dados</t>
  </si>
  <si>
    <t>R$/ano</t>
  </si>
  <si>
    <t>R$/h (fixo)</t>
  </si>
  <si>
    <t>h/ano</t>
  </si>
  <si>
    <t>Custo operação anual</t>
  </si>
  <si>
    <t>n</t>
  </si>
  <si>
    <t>anos</t>
  </si>
  <si>
    <t>2x40%</t>
  </si>
  <si>
    <t>1x20%</t>
  </si>
  <si>
    <t>&gt;0 Melhor é comprar</t>
  </si>
  <si>
    <t>PEQ Aluguel</t>
  </si>
  <si>
    <t>1916,33 h</t>
  </si>
  <si>
    <t>&lt; 1916,33h melhor é alugar</t>
  </si>
  <si>
    <t>&lt; 174,07$ melhor é alugar</t>
  </si>
  <si>
    <t>1a. FORMA DE SE RESOLVER</t>
  </si>
  <si>
    <t>2a. FORMA DE SE RESOLVER</t>
  </si>
  <si>
    <t>COMPRA</t>
  </si>
  <si>
    <t>ALUGUEL</t>
  </si>
  <si>
    <t>VPL MAIOR -  Melhor é comprar</t>
  </si>
  <si>
    <t>n =</t>
  </si>
  <si>
    <t>n=</t>
  </si>
  <si>
    <t>INVIÁVEL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</si>
</sst>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[Red]\-&quot;R$&quot;#,##0.00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3" fillId="2" borderId="0" xfId="0" applyFont="1" applyFill="1"/>
    <xf numFmtId="44" fontId="3" fillId="2" borderId="1" xfId="1" applyFont="1" applyFill="1" applyBorder="1"/>
    <xf numFmtId="0" fontId="3" fillId="2" borderId="1" xfId="0" applyFont="1" applyFill="1" applyBorder="1"/>
    <xf numFmtId="44" fontId="3" fillId="2" borderId="1" xfId="0" applyNumberFormat="1" applyFont="1" applyFill="1" applyBorder="1"/>
    <xf numFmtId="10" fontId="3" fillId="2" borderId="1" xfId="0" applyNumberFormat="1" applyFont="1" applyFill="1" applyBorder="1" applyAlignment="1">
      <alignment horizontal="center"/>
    </xf>
    <xf numFmtId="44" fontId="3" fillId="2" borderId="0" xfId="1" applyFont="1" applyFill="1" applyAlignment="1">
      <alignment horizontal="center"/>
    </xf>
    <xf numFmtId="10" fontId="3" fillId="2" borderId="1" xfId="1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44" fontId="3" fillId="2" borderId="0" xfId="1" applyFont="1" applyFill="1" applyBorder="1"/>
    <xf numFmtId="44" fontId="3" fillId="2" borderId="0" xfId="0" applyNumberFormat="1" applyFont="1" applyFill="1"/>
    <xf numFmtId="44" fontId="3" fillId="2" borderId="2" xfId="1" applyFont="1" applyFill="1" applyBorder="1"/>
    <xf numFmtId="0" fontId="3" fillId="2" borderId="3" xfId="0" applyFont="1" applyFill="1" applyBorder="1"/>
    <xf numFmtId="9" fontId="3" fillId="2" borderId="2" xfId="0" applyNumberFormat="1" applyFont="1" applyFill="1" applyBorder="1"/>
    <xf numFmtId="0" fontId="3" fillId="2" borderId="2" xfId="0" applyFont="1" applyFill="1" applyBorder="1"/>
    <xf numFmtId="165" fontId="3" fillId="2" borderId="0" xfId="3" applyNumberFormat="1" applyFont="1" applyFill="1"/>
    <xf numFmtId="8" fontId="3" fillId="2" borderId="1" xfId="0" applyNumberFormat="1" applyFont="1" applyFill="1" applyBorder="1"/>
    <xf numFmtId="44" fontId="0" fillId="2" borderId="0" xfId="0" applyNumberFormat="1" applyFill="1"/>
    <xf numFmtId="44" fontId="4" fillId="2" borderId="1" xfId="0" applyNumberFormat="1" applyFont="1" applyFill="1" applyBorder="1"/>
    <xf numFmtId="44" fontId="3" fillId="0" borderId="1" xfId="0" applyNumberFormat="1" applyFont="1" applyBorder="1"/>
    <xf numFmtId="44" fontId="3" fillId="0" borderId="1" xfId="1" applyFont="1" applyFill="1" applyBorder="1" applyAlignment="1">
      <alignment horizontal="center"/>
    </xf>
    <xf numFmtId="0" fontId="3" fillId="0" borderId="1" xfId="0" applyFont="1" applyBorder="1"/>
    <xf numFmtId="10" fontId="3" fillId="3" borderId="1" xfId="1" applyNumberFormat="1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44" fontId="3" fillId="4" borderId="1" xfId="0" applyNumberFormat="1" applyFont="1" applyFill="1" applyBorder="1"/>
    <xf numFmtId="10" fontId="3" fillId="5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44" fontId="3" fillId="0" borderId="1" xfId="1" applyFont="1" applyFill="1" applyBorder="1"/>
    <xf numFmtId="44" fontId="4" fillId="0" borderId="1" xfId="0" applyNumberFormat="1" applyFont="1" applyBorder="1"/>
    <xf numFmtId="8" fontId="3" fillId="3" borderId="1" xfId="0" applyNumberFormat="1" applyFont="1" applyFill="1" applyBorder="1" applyAlignment="1">
      <alignment horizontal="center"/>
    </xf>
    <xf numFmtId="44" fontId="4" fillId="2" borderId="1" xfId="1" applyFont="1" applyFill="1" applyBorder="1"/>
    <xf numFmtId="44" fontId="6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4" fontId="3" fillId="2" borderId="2" xfId="1" applyFont="1" applyFill="1" applyBorder="1" applyAlignment="1">
      <alignment horizontal="center"/>
    </xf>
    <xf numFmtId="44" fontId="3" fillId="2" borderId="3" xfId="1" applyFont="1" applyFill="1" applyBorder="1" applyAlignment="1">
      <alignment horizontal="center"/>
    </xf>
    <xf numFmtId="9" fontId="3" fillId="2" borderId="2" xfId="2" applyFont="1" applyFill="1" applyBorder="1" applyAlignment="1">
      <alignment horizontal="center"/>
    </xf>
    <xf numFmtId="9" fontId="3" fillId="2" borderId="3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597996</xdr:colOff>
      <xdr:row>27</xdr:row>
      <xdr:rowOff>23850</xdr:rowOff>
    </xdr:to>
    <xdr:sp macro="" textlink="">
      <xdr:nvSpPr>
        <xdr:cNvPr id="2" name="Espaço Reservado para Conteúdo 2" descr="2726edec-dfcb-46aa-b390-891a3c82bc4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 bwMode="auto">
        <a:xfrm>
          <a:off x="0" y="0"/>
          <a:ext cx="8522796" cy="535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05000"/>
            </a:lnSpc>
          </a:pPr>
          <a:r>
            <a:rPr lang="pt-BR" altLang="pt-BR" sz="2400"/>
            <a:t>Exemplo 1:</a:t>
          </a:r>
        </a:p>
        <a:p>
          <a:pPr lvl="1">
            <a:lnSpc>
              <a:spcPct val="105000"/>
            </a:lnSpc>
          </a:pPr>
          <a:r>
            <a:rPr lang="pt-BR" altLang="pt-BR" sz="2000"/>
            <a:t>Um investimento de $ 30.000 em um equipamento proporcionará redução de desembolsos anuais de $ 10.000. A vida econômica do equipamento é de 5 anos, após a qual o equipamento será vendido por $ 7.000.</a:t>
          </a:r>
        </a:p>
        <a:p>
          <a:pPr lvl="1">
            <a:lnSpc>
              <a:spcPct val="105000"/>
            </a:lnSpc>
          </a:pPr>
          <a:r>
            <a:rPr lang="pt-BR" altLang="pt-BR" sz="2000"/>
            <a:t>Considere que a taxa máxima de depreciação do equipamento é de 15% ao ano e que a empresa utiliza o método linear.</a:t>
          </a:r>
        </a:p>
        <a:p>
          <a:pPr lvl="1">
            <a:lnSpc>
              <a:spcPct val="105000"/>
            </a:lnSpc>
          </a:pPr>
          <a:r>
            <a:rPr lang="pt-BR" altLang="pt-BR" sz="2000"/>
            <a:t>A alíquota de imposto de renda é de 35% e a taxa mínima de atratividade da empresa é de 18% a.a.</a:t>
          </a:r>
        </a:p>
        <a:p>
          <a:pPr lvl="1">
            <a:lnSpc>
              <a:spcPct val="105000"/>
            </a:lnSpc>
          </a:pPr>
          <a:r>
            <a:rPr lang="pt-BR" altLang="pt-BR" sz="2000"/>
            <a:t>Pergunta-se:</a:t>
          </a:r>
        </a:p>
        <a:p>
          <a:pPr lvl="2">
            <a:lnSpc>
              <a:spcPct val="105000"/>
            </a:lnSpc>
          </a:pPr>
          <a:r>
            <a:rPr lang="pt-BR" altLang="pt-BR" sz="2000"/>
            <a:t>Qual a TIR do investimento antes dos impostos?</a:t>
          </a:r>
        </a:p>
        <a:p>
          <a:pPr lvl="2">
            <a:lnSpc>
              <a:spcPct val="105000"/>
            </a:lnSpc>
          </a:pPr>
          <a:r>
            <a:rPr lang="pt-BR" altLang="pt-BR" sz="2000"/>
            <a:t>O Investimento é viável após os impostos?</a:t>
          </a:r>
        </a:p>
        <a:p>
          <a:pPr lvl="2">
            <a:lnSpc>
              <a:spcPct val="105000"/>
            </a:lnSpc>
          </a:pPr>
          <a:r>
            <a:rPr lang="pt-BR" altLang="pt-BR" sz="2000"/>
            <a:t>Qual a TIR do investimento após os impostos se o equipamento operar em condições que lhe permita taxa máxima de depreciação de 40%?</a:t>
          </a:r>
        </a:p>
      </xdr:txBody>
    </xdr:sp>
    <xdr:clientData/>
  </xdr:twoCellAnchor>
  <xdr:twoCellAnchor editAs="oneCell">
    <xdr:from>
      <xdr:col>2</xdr:col>
      <xdr:colOff>257175</xdr:colOff>
      <xdr:row>25</xdr:row>
      <xdr:rowOff>190499</xdr:rowOff>
    </xdr:from>
    <xdr:to>
      <xdr:col>10</xdr:col>
      <xdr:colOff>575789</xdr:colOff>
      <xdr:row>47</xdr:row>
      <xdr:rowOff>152398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00749"/>
          <a:ext cx="5195414" cy="429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19</xdr:row>
      <xdr:rowOff>19050</xdr:rowOff>
    </xdr:to>
    <xdr:sp macro="" textlink="">
      <xdr:nvSpPr>
        <xdr:cNvPr id="2" name="Espaço Reservado para Conteúdo 2" descr="acdd3199-cd77-491f-8195-e1c92dd77f7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 bwMode="auto">
        <a:xfrm>
          <a:off x="0" y="0"/>
          <a:ext cx="6867525" cy="3638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05000"/>
            </a:lnSpc>
          </a:pPr>
          <a:r>
            <a:rPr lang="pt-BR" altLang="pt-BR" sz="2000" b="1"/>
            <a:t>Exemplo 2:</a:t>
          </a:r>
        </a:p>
        <a:p>
          <a:pPr lvl="1">
            <a:lnSpc>
              <a:spcPct val="105000"/>
            </a:lnSpc>
          </a:pPr>
          <a:endParaRPr lang="pt-BR" altLang="pt-BR" sz="2000"/>
        </a:p>
        <a:p>
          <a:pPr lvl="1">
            <a:lnSpc>
              <a:spcPct val="105000"/>
            </a:lnSpc>
          </a:pPr>
          <a:r>
            <a:rPr lang="pt-BR" altLang="pt-BR" sz="2000"/>
            <a:t>Pretende-se adquirir um guindaste de 8 toneladas. O custo de aquisição é de $500.000,00, e permitirá reduzir despesas de $110.000,00. Espera-se que a vida econômica do equipamento atinja 10 anos, após a qual não terá valor de mercado. Considerando uma TMA de 16% ao ano, a taxa de IR de 35% e a taxa de depreciação de 25% ao ano, analise a viabilidade da aquisição. </a:t>
          </a:r>
        </a:p>
      </xdr:txBody>
    </xdr:sp>
    <xdr:clientData/>
  </xdr:twoCellAnchor>
  <xdr:twoCellAnchor>
    <xdr:from>
      <xdr:col>0</xdr:col>
      <xdr:colOff>104775</xdr:colOff>
      <xdr:row>25</xdr:row>
      <xdr:rowOff>57150</xdr:rowOff>
    </xdr:from>
    <xdr:to>
      <xdr:col>9</xdr:col>
      <xdr:colOff>123825</xdr:colOff>
      <xdr:row>37</xdr:row>
      <xdr:rowOff>28575</xdr:rowOff>
    </xdr:to>
    <xdr:sp macro="" textlink="">
      <xdr:nvSpPr>
        <xdr:cNvPr id="5" name="Espaço Reservado para Conteúdo 2" descr="a3594e9d-1136-433f-8a17-3a782320135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Grp="1"/>
        </xdr:cNvSpPr>
      </xdr:nvSpPr>
      <xdr:spPr bwMode="auto">
        <a:xfrm>
          <a:off x="104775" y="6010275"/>
          <a:ext cx="5505450" cy="282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 lvl="1">
            <a:lnSpc>
              <a:spcPct val="105000"/>
            </a:lnSpc>
          </a:pPr>
          <a:r>
            <a:rPr lang="pt-BR" altLang="pt-BR"/>
            <a:t>Caso a empresa conseguisse acelerar a depreciação para 50% ao ano, e conseguisse vender o guindaste por $50.000,00 ao final de sua vida econômica o investimento seria viável?  </a:t>
          </a:r>
        </a:p>
      </xdr:txBody>
    </xdr:sp>
    <xdr:clientData/>
  </xdr:twoCellAnchor>
  <xdr:twoCellAnchor editAs="oneCell">
    <xdr:from>
      <xdr:col>0</xdr:col>
      <xdr:colOff>152400</xdr:colOff>
      <xdr:row>13</xdr:row>
      <xdr:rowOff>95250</xdr:rowOff>
    </xdr:from>
    <xdr:to>
      <xdr:col>10</xdr:col>
      <xdr:colOff>184150</xdr:colOff>
      <xdr:row>24</xdr:row>
      <xdr:rowOff>196850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149600"/>
          <a:ext cx="6445250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35</xdr:row>
      <xdr:rowOff>95250</xdr:rowOff>
    </xdr:from>
    <xdr:to>
      <xdr:col>10</xdr:col>
      <xdr:colOff>558800</xdr:colOff>
      <xdr:row>49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318500"/>
          <a:ext cx="6934200" cy="319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572144</xdr:colOff>
      <xdr:row>26</xdr:row>
      <xdr:rowOff>23850</xdr:rowOff>
    </xdr:to>
    <xdr:sp macro="" textlink="">
      <xdr:nvSpPr>
        <xdr:cNvPr id="7" name="Espaço Reservado para Conteúdo 2" descr="f24dc21b-a714-441d-92b0-d221774e69f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Grp="1"/>
        </xdr:cNvSpPr>
      </xdr:nvSpPr>
      <xdr:spPr bwMode="auto">
        <a:xfrm>
          <a:off x="0" y="0"/>
          <a:ext cx="8496944" cy="535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05000"/>
            </a:lnSpc>
          </a:pPr>
          <a:r>
            <a:rPr lang="pt-BR" altLang="pt-BR" sz="2400" b="1"/>
            <a:t>Exemplo 3:</a:t>
          </a:r>
        </a:p>
        <a:p>
          <a:pPr lvl="1">
            <a:lnSpc>
              <a:spcPct val="105000"/>
            </a:lnSpc>
          </a:pPr>
          <a:r>
            <a:rPr lang="pt-BR" altLang="pt-BR"/>
            <a:t>Visando avaliar a melhor alternativa entre adquirir ou fazer o leasing de equipamentos, a UDT (divisão de transportes da USIMINAS) solicitou um estudo à UDE (divisão de engenharia industrial) no sentido de tomar a decisão mais viável para a empresa. Entre estes equipamentos está o guindaste telescópico de 13 ton. Para o qual foram coletados os seguintes dados:</a:t>
          </a:r>
        </a:p>
        <a:p>
          <a:pPr lvl="2">
            <a:defRPr/>
          </a:pPr>
          <a:r>
            <a:rPr lang="pt-BR" sz="1800">
              <a:solidFill>
                <a:sysClr val="windowText" lastClr="000000"/>
              </a:solidFill>
            </a:rPr>
            <a:t>Custo de aquisição: $850.000,00</a:t>
          </a:r>
        </a:p>
        <a:p>
          <a:pPr lvl="2">
            <a:defRPr/>
          </a:pPr>
          <a:r>
            <a:rPr lang="pt-BR" sz="1800">
              <a:solidFill>
                <a:sysClr val="windowText" lastClr="000000"/>
              </a:solidFill>
            </a:rPr>
            <a:t>Valor de mercado após 5 anos $170.000,00</a:t>
          </a:r>
        </a:p>
        <a:p>
          <a:pPr lvl="2">
            <a:defRPr/>
          </a:pPr>
          <a:r>
            <a:rPr lang="pt-BR" sz="1800">
              <a:solidFill>
                <a:sysClr val="windowText" lastClr="000000"/>
              </a:solidFill>
            </a:rPr>
            <a:t>Horizonte de planejamento 5 anos</a:t>
          </a:r>
        </a:p>
        <a:p>
          <a:pPr lvl="2">
            <a:defRPr/>
          </a:pPr>
          <a:r>
            <a:rPr lang="pt-BR" sz="1800">
              <a:solidFill>
                <a:sysClr val="windowText" lastClr="000000"/>
              </a:solidFill>
            </a:rPr>
            <a:t>Custos anuais de operação e manutenção: $108.000,00</a:t>
          </a:r>
        </a:p>
        <a:p>
          <a:pPr lvl="2">
            <a:defRPr/>
          </a:pPr>
          <a:r>
            <a:rPr lang="pt-BR" sz="1800">
              <a:solidFill>
                <a:sysClr val="windowText" lastClr="000000"/>
              </a:solidFill>
            </a:rPr>
            <a:t>Taxa mínima de atratividade da USIMINAS: 18% ao ano</a:t>
          </a:r>
        </a:p>
        <a:p>
          <a:pPr lvl="2">
            <a:defRPr/>
          </a:pPr>
          <a:r>
            <a:rPr lang="pt-BR" sz="1800">
              <a:solidFill>
                <a:sysClr val="windowText" lastClr="000000"/>
              </a:solidFill>
            </a:rPr>
            <a:t>Valor do aluguel: $218,00 por hora (fixo)</a:t>
          </a:r>
        </a:p>
        <a:p>
          <a:pPr lvl="2">
            <a:defRPr/>
          </a:pPr>
          <a:r>
            <a:rPr lang="pt-BR" sz="1800">
              <a:solidFill>
                <a:sysClr val="windowText" lastClr="000000"/>
              </a:solidFill>
            </a:rPr>
            <a:t>Franquia de horas estipulada: 2400 horas/ano </a:t>
          </a:r>
        </a:p>
        <a:p>
          <a:pPr lvl="2">
            <a:defRPr/>
          </a:pPr>
          <a:endParaRPr lang="pt-BR" sz="1800">
            <a:solidFill>
              <a:sysClr val="windowText" lastClr="000000"/>
            </a:solidFill>
          </a:endParaRPr>
        </a:p>
        <a:p>
          <a:pPr lvl="1">
            <a:lnSpc>
              <a:spcPct val="105000"/>
            </a:lnSpc>
          </a:pPr>
          <a:endParaRPr lang="pt-BR" altLang="pt-BR"/>
        </a:p>
      </xdr:txBody>
    </xdr:sp>
    <xdr:clientData/>
  </xdr:twoCellAnchor>
  <xdr:twoCellAnchor>
    <xdr:from>
      <xdr:col>0</xdr:col>
      <xdr:colOff>0</xdr:colOff>
      <xdr:row>27</xdr:row>
      <xdr:rowOff>0</xdr:rowOff>
    </xdr:from>
    <xdr:to>
      <xdr:col>13</xdr:col>
      <xdr:colOff>309964</xdr:colOff>
      <xdr:row>41</xdr:row>
      <xdr:rowOff>0</xdr:rowOff>
    </xdr:to>
    <xdr:sp macro="" textlink="">
      <xdr:nvSpPr>
        <xdr:cNvPr id="8" name="Espaço Reservado para Conteúdo 2" descr="617a0aed-1a56-4939-87de-6fa7e95fb6ca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Grp="1"/>
        </xdr:cNvSpPr>
      </xdr:nvSpPr>
      <xdr:spPr bwMode="auto">
        <a:xfrm>
          <a:off x="0" y="5638800"/>
          <a:ext cx="8234764" cy="535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 marL="0" indent="0">
            <a:buNone/>
            <a:defRPr/>
          </a:pPr>
          <a:endParaRPr lang="pt-BR">
            <a:solidFill>
              <a:sysClr val="windowText" lastClr="000000"/>
            </a:solidFill>
          </a:endParaRPr>
        </a:p>
        <a:p>
          <a:pPr marL="0" indent="0">
            <a:buNone/>
            <a:defRPr/>
          </a:pPr>
          <a:r>
            <a:rPr lang="pt-BR">
              <a:solidFill>
                <a:sysClr val="windowText" lastClr="000000"/>
              </a:solidFill>
            </a:rPr>
            <a:t>Pergunta-se:</a:t>
          </a:r>
        </a:p>
        <a:p>
          <a:pPr marL="857250" lvl="1" indent="-457200">
            <a:buFont typeface="+mj-lt"/>
            <a:buAutoNum type="arabicPeriod"/>
            <a:defRPr/>
          </a:pPr>
          <a:r>
            <a:rPr lang="pt-BR">
              <a:solidFill>
                <a:sysClr val="windowText" lastClr="000000"/>
              </a:solidFill>
            </a:rPr>
            <a:t>Qual o melhor, alugar ou comprar?</a:t>
          </a:r>
        </a:p>
        <a:p>
          <a:pPr marL="857250" lvl="1" indent="-457200">
            <a:buFont typeface="+mj-lt"/>
            <a:buAutoNum type="arabicPeriod"/>
            <a:defRPr/>
          </a:pPr>
          <a:r>
            <a:rPr lang="pt-BR">
              <a:solidFill>
                <a:sysClr val="windowText" lastClr="000000"/>
              </a:solidFill>
            </a:rPr>
            <a:t>Faça suas considerações sobre um ponto de equilíbrio entre a compra e o aluguel. </a:t>
          </a:r>
        </a:p>
        <a:p>
          <a:pPr marL="857250" lvl="1" indent="-457200">
            <a:buFont typeface="+mj-lt"/>
            <a:buAutoNum type="arabicPeriod"/>
            <a:defRPr/>
          </a:pPr>
          <a:endParaRPr lang="pt-BR">
            <a:solidFill>
              <a:sysClr val="windowText" lastClr="000000"/>
            </a:solidFill>
          </a:endParaRPr>
        </a:p>
        <a:p>
          <a:pPr marL="400050" lvl="1" indent="0">
            <a:buNone/>
            <a:defRPr/>
          </a:pPr>
          <a:r>
            <a:rPr lang="pt-BR">
              <a:solidFill>
                <a:sysClr val="windowText" lastClr="000000"/>
              </a:solidFill>
            </a:rPr>
            <a:t>Obs.: Considerar que a taxa de depreciação permitida é de 15% ao ano.</a:t>
          </a:r>
        </a:p>
        <a:p>
          <a:pPr marL="400050" lvl="1" indent="0">
            <a:buNone/>
            <a:defRPr/>
          </a:pPr>
          <a:endParaRPr lang="pt-BR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P2:AA28"/>
  <sheetViews>
    <sheetView tabSelected="1" topLeftCell="N1" zoomScale="110" zoomScaleNormal="110" workbookViewId="0">
      <selection activeCell="S12" sqref="S12"/>
    </sheetView>
  </sheetViews>
  <sheetFormatPr defaultColWidth="9.109375" defaultRowHeight="14.4" x14ac:dyDescent="0.3"/>
  <cols>
    <col min="1" max="15" width="9.109375" style="1"/>
    <col min="16" max="16" width="9.33203125" style="1" bestFit="1" customWidth="1"/>
    <col min="17" max="17" width="18.109375" style="1" bestFit="1" customWidth="1"/>
    <col min="18" max="18" width="17.6640625" style="1" customWidth="1"/>
    <col min="19" max="19" width="19" style="1" customWidth="1"/>
    <col min="20" max="20" width="20.5546875" style="1" customWidth="1"/>
    <col min="21" max="21" width="18.109375" style="1" customWidth="1"/>
    <col min="22" max="22" width="18.88671875" style="1" customWidth="1"/>
    <col min="23" max="16384" width="9.109375" style="1"/>
  </cols>
  <sheetData>
    <row r="2" spans="16:27" ht="18" x14ac:dyDescent="0.35">
      <c r="P2" s="4" t="s">
        <v>0</v>
      </c>
      <c r="Q2" s="4" t="s">
        <v>1</v>
      </c>
      <c r="R2" s="4" t="s">
        <v>5</v>
      </c>
      <c r="S2" s="4" t="s">
        <v>6</v>
      </c>
      <c r="T2" s="4" t="s">
        <v>7</v>
      </c>
      <c r="U2" s="4" t="s">
        <v>3</v>
      </c>
      <c r="V2" s="4" t="s">
        <v>8</v>
      </c>
    </row>
    <row r="3" spans="16:27" ht="18" x14ac:dyDescent="0.35">
      <c r="P3" s="4">
        <v>0</v>
      </c>
      <c r="Q3" s="5">
        <v>-30000</v>
      </c>
      <c r="R3" s="8"/>
      <c r="S3" s="8">
        <v>30000</v>
      </c>
      <c r="T3" s="8"/>
      <c r="U3" s="8"/>
      <c r="V3" s="9">
        <f>Q3-U3</f>
        <v>-30000</v>
      </c>
    </row>
    <row r="4" spans="16:27" ht="18" x14ac:dyDescent="0.35">
      <c r="P4" s="4">
        <v>1</v>
      </c>
      <c r="Q4" s="5">
        <v>10000</v>
      </c>
      <c r="R4" s="9">
        <f>15%*30000</f>
        <v>4500</v>
      </c>
      <c r="S4" s="9">
        <f>S3-R4</f>
        <v>25500</v>
      </c>
      <c r="T4" s="9">
        <f>Q4-R4</f>
        <v>5500</v>
      </c>
      <c r="U4" s="23">
        <f>$Q$13*T4</f>
        <v>1924.9999999999998</v>
      </c>
      <c r="V4" s="9">
        <f t="shared" ref="V4:V8" si="0">Q4-U4</f>
        <v>8075</v>
      </c>
      <c r="W4" s="2"/>
      <c r="X4" s="2"/>
      <c r="Y4" s="2"/>
      <c r="Z4" s="2"/>
      <c r="AA4" s="2"/>
    </row>
    <row r="5" spans="16:27" ht="18" x14ac:dyDescent="0.35">
      <c r="P5" s="4">
        <v>2</v>
      </c>
      <c r="Q5" s="5">
        <v>10000</v>
      </c>
      <c r="R5" s="9">
        <f t="shared" ref="R5:R8" si="1">15%*30000</f>
        <v>4500</v>
      </c>
      <c r="S5" s="9">
        <f>S4-R5</f>
        <v>21000</v>
      </c>
      <c r="T5" s="9">
        <f t="shared" ref="T5:T6" si="2">Q5-R5</f>
        <v>5500</v>
      </c>
      <c r="U5" s="23">
        <f t="shared" ref="U5:U8" si="3">$Q$13*T5</f>
        <v>1924.9999999999998</v>
      </c>
      <c r="V5" s="9">
        <f t="shared" si="0"/>
        <v>8075</v>
      </c>
      <c r="W5" s="2"/>
      <c r="X5" s="2"/>
      <c r="Y5" s="2"/>
      <c r="Z5" s="2"/>
      <c r="AA5" s="2"/>
    </row>
    <row r="6" spans="16:27" ht="18" x14ac:dyDescent="0.35">
      <c r="P6" s="4">
        <v>3</v>
      </c>
      <c r="Q6" s="5">
        <v>10000</v>
      </c>
      <c r="R6" s="9">
        <f t="shared" si="1"/>
        <v>4500</v>
      </c>
      <c r="S6" s="9">
        <f>S5-R6</f>
        <v>16500</v>
      </c>
      <c r="T6" s="9">
        <f t="shared" si="2"/>
        <v>5500</v>
      </c>
      <c r="U6" s="23">
        <f t="shared" si="3"/>
        <v>1924.9999999999998</v>
      </c>
      <c r="V6" s="9">
        <f t="shared" si="0"/>
        <v>8075</v>
      </c>
      <c r="W6" s="2"/>
      <c r="X6" s="2"/>
      <c r="Y6" s="2"/>
      <c r="Z6" s="2"/>
      <c r="AA6" s="2"/>
    </row>
    <row r="7" spans="16:27" ht="18" x14ac:dyDescent="0.35">
      <c r="P7" s="4">
        <v>4</v>
      </c>
      <c r="Q7" s="5">
        <v>10000</v>
      </c>
      <c r="R7" s="9">
        <f t="shared" si="1"/>
        <v>4500</v>
      </c>
      <c r="S7" s="9">
        <f>S6-R7</f>
        <v>12000</v>
      </c>
      <c r="T7" s="9">
        <f>Q7-R7</f>
        <v>5500</v>
      </c>
      <c r="U7" s="23">
        <f t="shared" si="3"/>
        <v>1924.9999999999998</v>
      </c>
      <c r="V7" s="9">
        <f t="shared" si="0"/>
        <v>8075</v>
      </c>
      <c r="W7" s="2"/>
      <c r="X7" s="2"/>
      <c r="Y7" s="2"/>
      <c r="Z7" s="2"/>
      <c r="AA7" s="2"/>
    </row>
    <row r="8" spans="16:27" ht="18" x14ac:dyDescent="0.35">
      <c r="P8" s="4">
        <v>5</v>
      </c>
      <c r="Q8" s="5">
        <f>10000+7000</f>
        <v>17000</v>
      </c>
      <c r="R8" s="9">
        <f t="shared" si="1"/>
        <v>4500</v>
      </c>
      <c r="S8" s="31">
        <f>S7-R8</f>
        <v>7500</v>
      </c>
      <c r="T8" s="9">
        <f>10000-4500+7000-S8</f>
        <v>5000</v>
      </c>
      <c r="U8" s="23">
        <f t="shared" si="3"/>
        <v>1750</v>
      </c>
      <c r="V8" s="9">
        <f t="shared" si="0"/>
        <v>15250</v>
      </c>
      <c r="W8" s="2"/>
      <c r="X8" s="2"/>
      <c r="Y8" s="2"/>
      <c r="Z8" s="2"/>
      <c r="AA8" s="2"/>
    </row>
    <row r="9" spans="16:27" ht="18" x14ac:dyDescent="0.35">
      <c r="P9" s="3"/>
      <c r="Q9" s="11"/>
      <c r="R9" s="6"/>
      <c r="S9" s="6"/>
      <c r="T9" s="6"/>
      <c r="U9" s="6"/>
      <c r="V9" s="6"/>
      <c r="W9" s="2"/>
      <c r="X9" s="2"/>
      <c r="Y9" s="2"/>
      <c r="Z9" s="2"/>
      <c r="AA9" s="2"/>
    </row>
    <row r="10" spans="16:27" ht="18" x14ac:dyDescent="0.35">
      <c r="P10" s="4" t="s">
        <v>9</v>
      </c>
      <c r="Q10" s="27">
        <f>IRR(Q3:Q8)</f>
        <v>0.23763579463821727</v>
      </c>
      <c r="R10" s="6"/>
      <c r="S10" s="6"/>
      <c r="T10" s="6"/>
      <c r="U10" s="4" t="s">
        <v>9</v>
      </c>
      <c r="V10" s="32">
        <f>IRR(V3:V8)</f>
        <v>0.15812284782467789</v>
      </c>
      <c r="W10" s="2"/>
      <c r="X10" s="2"/>
      <c r="Y10" s="2"/>
      <c r="Z10" s="2"/>
      <c r="AA10" s="2"/>
    </row>
    <row r="11" spans="16:27" ht="18" x14ac:dyDescent="0.35">
      <c r="P11" s="4" t="s">
        <v>15</v>
      </c>
      <c r="Q11" s="28">
        <f>NPV(Q14,Q4:Q8)+Q3</f>
        <v>4331.4747230321882</v>
      </c>
      <c r="R11" s="2"/>
      <c r="S11" s="2"/>
      <c r="T11" s="2"/>
      <c r="U11" s="4" t="s">
        <v>15</v>
      </c>
      <c r="V11" s="33">
        <f>NPV(Q14,V4:V8)+V3</f>
        <v>-1611.835379440643</v>
      </c>
      <c r="W11" s="2"/>
      <c r="X11" s="2"/>
      <c r="Y11" s="2"/>
      <c r="Z11" s="2"/>
      <c r="AA11" s="2"/>
    </row>
    <row r="12" spans="16:27" ht="18" x14ac:dyDescent="0.35">
      <c r="P12" s="4" t="s">
        <v>2</v>
      </c>
      <c r="Q12" s="13">
        <v>0.15</v>
      </c>
      <c r="R12" s="30" t="s">
        <v>35</v>
      </c>
      <c r="S12" s="6">
        <f>100/15</f>
        <v>6.666666666666667</v>
      </c>
      <c r="T12" s="6" t="s">
        <v>22</v>
      </c>
      <c r="U12" s="2"/>
      <c r="V12" s="2"/>
      <c r="W12" s="2"/>
      <c r="X12" s="2"/>
      <c r="Y12" s="2"/>
      <c r="Z12" s="2"/>
      <c r="AA12" s="2"/>
    </row>
    <row r="13" spans="16:27" ht="18" x14ac:dyDescent="0.35">
      <c r="P13" s="4" t="s">
        <v>3</v>
      </c>
      <c r="Q13" s="29">
        <v>0.35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6:27" ht="18" x14ac:dyDescent="0.35">
      <c r="P14" s="4" t="s">
        <v>4</v>
      </c>
      <c r="Q14" s="13">
        <v>0.18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6:27" ht="18" x14ac:dyDescent="0.35"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6:27" ht="18" x14ac:dyDescent="0.35">
      <c r="P16" s="4" t="s">
        <v>0</v>
      </c>
      <c r="Q16" s="4" t="s">
        <v>1</v>
      </c>
      <c r="R16" s="4" t="s">
        <v>5</v>
      </c>
      <c r="S16" s="4" t="s">
        <v>6</v>
      </c>
      <c r="T16" s="4" t="s">
        <v>7</v>
      </c>
      <c r="U16" s="4" t="s">
        <v>3</v>
      </c>
      <c r="V16" s="4" t="s">
        <v>8</v>
      </c>
      <c r="W16" s="2"/>
      <c r="X16" s="2"/>
      <c r="Y16" s="2"/>
      <c r="Z16" s="2"/>
      <c r="AA16" s="2"/>
    </row>
    <row r="17" spans="16:27" ht="18" x14ac:dyDescent="0.35">
      <c r="P17" s="4">
        <v>0</v>
      </c>
      <c r="Q17" s="25">
        <f>Q3</f>
        <v>-30000</v>
      </c>
      <c r="R17" s="26"/>
      <c r="S17" s="34">
        <v>30000</v>
      </c>
      <c r="T17" s="26"/>
      <c r="U17" s="26"/>
      <c r="V17" s="24">
        <f>Q17-U17</f>
        <v>-30000</v>
      </c>
      <c r="W17" s="2"/>
      <c r="X17" s="2"/>
      <c r="Y17" s="2"/>
      <c r="Z17" s="2"/>
      <c r="AA17" s="2"/>
    </row>
    <row r="18" spans="16:27" ht="18" x14ac:dyDescent="0.35">
      <c r="P18" s="4">
        <v>1</v>
      </c>
      <c r="Q18" s="25">
        <f t="shared" ref="Q18:Q22" si="4">Q4</f>
        <v>10000</v>
      </c>
      <c r="R18" s="24">
        <f>40%*30000</f>
        <v>12000</v>
      </c>
      <c r="S18" s="24">
        <f>S17-R18</f>
        <v>18000</v>
      </c>
      <c r="T18" s="35">
        <f>Q18-R18</f>
        <v>-2000</v>
      </c>
      <c r="U18" s="35">
        <f>$Q$27*T18</f>
        <v>-700</v>
      </c>
      <c r="V18" s="24">
        <f t="shared" ref="V18:V22" si="5">Q18-U18</f>
        <v>10700</v>
      </c>
      <c r="W18" s="2"/>
      <c r="X18" s="2"/>
      <c r="Y18" s="2"/>
      <c r="Z18" s="2"/>
      <c r="AA18" s="2"/>
    </row>
    <row r="19" spans="16:27" ht="18" x14ac:dyDescent="0.35">
      <c r="P19" s="4">
        <v>2</v>
      </c>
      <c r="Q19" s="25">
        <f t="shared" si="4"/>
        <v>10000</v>
      </c>
      <c r="R19" s="24">
        <f>40%*30000</f>
        <v>12000</v>
      </c>
      <c r="S19" s="24">
        <f>S18-R19</f>
        <v>6000</v>
      </c>
      <c r="T19" s="35">
        <f t="shared" ref="T19:T22" si="6">Q19-R19</f>
        <v>-2000</v>
      </c>
      <c r="U19" s="35">
        <f t="shared" ref="U19:U22" si="7">$Q$27*T19</f>
        <v>-700</v>
      </c>
      <c r="V19" s="24">
        <f t="shared" si="5"/>
        <v>10700</v>
      </c>
      <c r="W19" s="2"/>
      <c r="X19" s="2"/>
      <c r="Y19" s="2"/>
      <c r="Z19" s="2"/>
      <c r="AA19" s="2"/>
    </row>
    <row r="20" spans="16:27" ht="18" x14ac:dyDescent="0.35">
      <c r="P20" s="4">
        <v>3</v>
      </c>
      <c r="Q20" s="25">
        <f t="shared" si="4"/>
        <v>10000</v>
      </c>
      <c r="R20" s="24">
        <f>20%*30000</f>
        <v>6000</v>
      </c>
      <c r="S20" s="24">
        <f>S19-R20</f>
        <v>0</v>
      </c>
      <c r="T20" s="24">
        <f t="shared" si="6"/>
        <v>4000</v>
      </c>
      <c r="U20" s="24">
        <f t="shared" si="7"/>
        <v>1400</v>
      </c>
      <c r="V20" s="24">
        <f t="shared" si="5"/>
        <v>8600</v>
      </c>
    </row>
    <row r="21" spans="16:27" ht="18" x14ac:dyDescent="0.35">
      <c r="P21" s="4">
        <v>4</v>
      </c>
      <c r="Q21" s="25">
        <f t="shared" si="4"/>
        <v>10000</v>
      </c>
      <c r="R21" s="24"/>
      <c r="S21" s="24">
        <v>0</v>
      </c>
      <c r="T21" s="24">
        <f t="shared" si="6"/>
        <v>10000</v>
      </c>
      <c r="U21" s="24">
        <f t="shared" si="7"/>
        <v>3500</v>
      </c>
      <c r="V21" s="24">
        <f t="shared" si="5"/>
        <v>6500</v>
      </c>
    </row>
    <row r="22" spans="16:27" ht="18" x14ac:dyDescent="0.35">
      <c r="P22" s="4">
        <v>5</v>
      </c>
      <c r="Q22" s="25">
        <f t="shared" si="4"/>
        <v>17000</v>
      </c>
      <c r="R22" s="24"/>
      <c r="S22" s="31">
        <v>0</v>
      </c>
      <c r="T22" s="24">
        <f t="shared" si="6"/>
        <v>17000</v>
      </c>
      <c r="U22" s="24">
        <f t="shared" si="7"/>
        <v>5950</v>
      </c>
      <c r="V22" s="24">
        <f t="shared" si="5"/>
        <v>11050</v>
      </c>
    </row>
    <row r="24" spans="16:27" ht="18" x14ac:dyDescent="0.35">
      <c r="P24" s="4" t="s">
        <v>9</v>
      </c>
      <c r="Q24" s="12">
        <f>Q10</f>
        <v>0.23763579463821727</v>
      </c>
      <c r="R24" s="2"/>
      <c r="S24" s="2"/>
      <c r="T24" s="2"/>
      <c r="U24" s="4" t="s">
        <v>9</v>
      </c>
      <c r="V24" s="10">
        <f>IRR(V17:V22)</f>
        <v>0.18258306016138937</v>
      </c>
    </row>
    <row r="25" spans="16:27" ht="18" x14ac:dyDescent="0.35">
      <c r="U25" s="4" t="s">
        <v>15</v>
      </c>
      <c r="V25" s="33">
        <f>NPV(Q28,V18:V22)+V17</f>
        <v>169.28004149429762</v>
      </c>
    </row>
    <row r="26" spans="16:27" ht="18" x14ac:dyDescent="0.35">
      <c r="P26" s="4" t="s">
        <v>2</v>
      </c>
      <c r="Q26" s="13">
        <v>0.4</v>
      </c>
      <c r="R26" s="30"/>
      <c r="S26" s="4">
        <f>100/40</f>
        <v>2.5</v>
      </c>
      <c r="T26" s="4" t="s">
        <v>22</v>
      </c>
    </row>
    <row r="27" spans="16:27" ht="18" x14ac:dyDescent="0.35">
      <c r="P27" s="4" t="s">
        <v>3</v>
      </c>
      <c r="Q27" s="13">
        <v>0.35</v>
      </c>
      <c r="S27" s="4" t="s">
        <v>23</v>
      </c>
      <c r="T27" s="39" t="s">
        <v>5</v>
      </c>
    </row>
    <row r="28" spans="16:27" ht="18" x14ac:dyDescent="0.35">
      <c r="P28" s="4" t="s">
        <v>4</v>
      </c>
      <c r="Q28" s="13">
        <v>0.18</v>
      </c>
      <c r="S28" s="4" t="s">
        <v>24</v>
      </c>
      <c r="T28" s="39"/>
    </row>
  </sheetData>
  <mergeCells count="1">
    <mergeCell ref="T27:T2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M4:U42"/>
  <sheetViews>
    <sheetView topLeftCell="A16" workbookViewId="0">
      <selection activeCell="S18" sqref="S18"/>
    </sheetView>
  </sheetViews>
  <sheetFormatPr defaultColWidth="9.109375" defaultRowHeight="18" x14ac:dyDescent="0.35"/>
  <cols>
    <col min="1" max="12" width="9.109375" style="2"/>
    <col min="13" max="13" width="11.109375" style="2" customWidth="1"/>
    <col min="14" max="14" width="19.5546875" style="2" bestFit="1" customWidth="1"/>
    <col min="15" max="15" width="19.6640625" style="2" customWidth="1"/>
    <col min="16" max="16" width="19.6640625" style="2" bestFit="1" customWidth="1"/>
    <col min="17" max="17" width="19.88671875" style="2" bestFit="1" customWidth="1"/>
    <col min="18" max="18" width="18.33203125" style="2" bestFit="1" customWidth="1"/>
    <col min="19" max="19" width="19.5546875" style="2" bestFit="1" customWidth="1"/>
    <col min="20" max="16384" width="9.109375" style="2"/>
  </cols>
  <sheetData>
    <row r="4" spans="13:19" x14ac:dyDescent="0.35">
      <c r="M4" s="4" t="s">
        <v>0</v>
      </c>
      <c r="N4" s="4" t="s">
        <v>1</v>
      </c>
      <c r="O4" s="4" t="s">
        <v>5</v>
      </c>
      <c r="P4" s="4" t="s">
        <v>10</v>
      </c>
      <c r="Q4" s="4" t="s">
        <v>7</v>
      </c>
      <c r="R4" s="4" t="s">
        <v>3</v>
      </c>
      <c r="S4" s="4" t="s">
        <v>8</v>
      </c>
    </row>
    <row r="5" spans="13:19" x14ac:dyDescent="0.35">
      <c r="M5" s="4">
        <v>0</v>
      </c>
      <c r="N5" s="7">
        <v>-500000</v>
      </c>
      <c r="O5" s="8"/>
      <c r="P5" s="7">
        <v>500000</v>
      </c>
      <c r="Q5" s="8"/>
      <c r="R5" s="8"/>
      <c r="S5" s="9">
        <f>N5-R5</f>
        <v>-500000</v>
      </c>
    </row>
    <row r="6" spans="13:19" x14ac:dyDescent="0.35">
      <c r="M6" s="4">
        <v>1</v>
      </c>
      <c r="N6" s="7">
        <v>110000</v>
      </c>
      <c r="O6" s="7">
        <f>$N$21*500000</f>
        <v>125000</v>
      </c>
      <c r="P6" s="9">
        <f>P5-O6</f>
        <v>375000</v>
      </c>
      <c r="Q6" s="23">
        <f>N6-O6</f>
        <v>-15000</v>
      </c>
      <c r="R6" s="23">
        <f>$N$20*Q6</f>
        <v>-5250</v>
      </c>
      <c r="S6" s="9">
        <f t="shared" ref="S6:S15" si="0">N6-R6</f>
        <v>115250</v>
      </c>
    </row>
    <row r="7" spans="13:19" x14ac:dyDescent="0.35">
      <c r="M7" s="4">
        <v>2</v>
      </c>
      <c r="N7" s="7">
        <v>110000</v>
      </c>
      <c r="O7" s="7">
        <f t="shared" ref="O7:O9" si="1">$N$21*500000</f>
        <v>125000</v>
      </c>
      <c r="P7" s="9">
        <f t="shared" ref="P7:P15" si="2">P6-O7</f>
        <v>250000</v>
      </c>
      <c r="Q7" s="23">
        <f t="shared" ref="Q7:Q14" si="3">N7-O7</f>
        <v>-15000</v>
      </c>
      <c r="R7" s="23">
        <f t="shared" ref="R7:R15" si="4">$N$20*Q7</f>
        <v>-5250</v>
      </c>
      <c r="S7" s="9">
        <f t="shared" si="0"/>
        <v>115250</v>
      </c>
    </row>
    <row r="8" spans="13:19" x14ac:dyDescent="0.35">
      <c r="M8" s="4">
        <v>3</v>
      </c>
      <c r="N8" s="7">
        <v>110000</v>
      </c>
      <c r="O8" s="7">
        <f t="shared" si="1"/>
        <v>125000</v>
      </c>
      <c r="P8" s="9">
        <f t="shared" si="2"/>
        <v>125000</v>
      </c>
      <c r="Q8" s="23">
        <f t="shared" si="3"/>
        <v>-15000</v>
      </c>
      <c r="R8" s="23">
        <f t="shared" si="4"/>
        <v>-5250</v>
      </c>
      <c r="S8" s="9">
        <f t="shared" si="0"/>
        <v>115250</v>
      </c>
    </row>
    <row r="9" spans="13:19" x14ac:dyDescent="0.35">
      <c r="M9" s="4">
        <v>4</v>
      </c>
      <c r="N9" s="7">
        <v>110000</v>
      </c>
      <c r="O9" s="7">
        <f t="shared" si="1"/>
        <v>125000</v>
      </c>
      <c r="P9" s="9">
        <f t="shared" si="2"/>
        <v>0</v>
      </c>
      <c r="Q9" s="23">
        <f t="shared" si="3"/>
        <v>-15000</v>
      </c>
      <c r="R9" s="23">
        <f t="shared" si="4"/>
        <v>-5250</v>
      </c>
      <c r="S9" s="9">
        <f t="shared" si="0"/>
        <v>115250</v>
      </c>
    </row>
    <row r="10" spans="13:19" x14ac:dyDescent="0.35">
      <c r="M10" s="4">
        <v>5</v>
      </c>
      <c r="N10" s="7">
        <v>110000</v>
      </c>
      <c r="O10" s="5"/>
      <c r="P10" s="9">
        <f t="shared" si="2"/>
        <v>0</v>
      </c>
      <c r="Q10" s="9">
        <f t="shared" si="3"/>
        <v>110000</v>
      </c>
      <c r="R10" s="9">
        <f t="shared" si="4"/>
        <v>38500</v>
      </c>
      <c r="S10" s="9">
        <f t="shared" si="0"/>
        <v>71500</v>
      </c>
    </row>
    <row r="11" spans="13:19" x14ac:dyDescent="0.35">
      <c r="M11" s="4">
        <v>6</v>
      </c>
      <c r="N11" s="7">
        <v>110000</v>
      </c>
      <c r="O11" s="5"/>
      <c r="P11" s="9">
        <f t="shared" si="2"/>
        <v>0</v>
      </c>
      <c r="Q11" s="9">
        <f t="shared" si="3"/>
        <v>110000</v>
      </c>
      <c r="R11" s="9">
        <f t="shared" si="4"/>
        <v>38500</v>
      </c>
      <c r="S11" s="9">
        <f t="shared" si="0"/>
        <v>71500</v>
      </c>
    </row>
    <row r="12" spans="13:19" x14ac:dyDescent="0.35">
      <c r="M12" s="4">
        <v>7</v>
      </c>
      <c r="N12" s="7">
        <v>110000</v>
      </c>
      <c r="O12" s="5"/>
      <c r="P12" s="9">
        <f t="shared" si="2"/>
        <v>0</v>
      </c>
      <c r="Q12" s="9">
        <f t="shared" si="3"/>
        <v>110000</v>
      </c>
      <c r="R12" s="9">
        <f t="shared" si="4"/>
        <v>38500</v>
      </c>
      <c r="S12" s="9">
        <f t="shared" si="0"/>
        <v>71500</v>
      </c>
    </row>
    <row r="13" spans="13:19" x14ac:dyDescent="0.35">
      <c r="M13" s="4">
        <v>8</v>
      </c>
      <c r="N13" s="7">
        <v>110000</v>
      </c>
      <c r="O13" s="5"/>
      <c r="P13" s="9">
        <f t="shared" si="2"/>
        <v>0</v>
      </c>
      <c r="Q13" s="9">
        <f t="shared" si="3"/>
        <v>110000</v>
      </c>
      <c r="R13" s="9">
        <f t="shared" si="4"/>
        <v>38500</v>
      </c>
      <c r="S13" s="9">
        <f t="shared" si="0"/>
        <v>71500</v>
      </c>
    </row>
    <row r="14" spans="13:19" x14ac:dyDescent="0.35">
      <c r="M14" s="4">
        <v>9</v>
      </c>
      <c r="N14" s="7">
        <v>110000</v>
      </c>
      <c r="O14" s="5"/>
      <c r="P14" s="9">
        <f t="shared" si="2"/>
        <v>0</v>
      </c>
      <c r="Q14" s="9">
        <f t="shared" si="3"/>
        <v>110000</v>
      </c>
      <c r="R14" s="9">
        <f t="shared" si="4"/>
        <v>38500</v>
      </c>
      <c r="S14" s="9">
        <f>N14-R14</f>
        <v>71500</v>
      </c>
    </row>
    <row r="15" spans="13:19" x14ac:dyDescent="0.35">
      <c r="M15" s="4">
        <v>10</v>
      </c>
      <c r="N15" s="7">
        <v>110000</v>
      </c>
      <c r="O15" s="5"/>
      <c r="P15" s="9">
        <f t="shared" si="2"/>
        <v>0</v>
      </c>
      <c r="Q15" s="9">
        <f>N15-O15-P15</f>
        <v>110000</v>
      </c>
      <c r="R15" s="9">
        <f t="shared" si="4"/>
        <v>38500</v>
      </c>
      <c r="S15" s="9">
        <f t="shared" si="0"/>
        <v>71500</v>
      </c>
    </row>
    <row r="16" spans="13:19" x14ac:dyDescent="0.35">
      <c r="M16" s="6"/>
      <c r="N16" s="6"/>
      <c r="O16" s="6"/>
      <c r="P16" s="6"/>
      <c r="Q16" s="6"/>
      <c r="R16" s="6"/>
      <c r="S16" s="6"/>
    </row>
    <row r="17" spans="13:21" x14ac:dyDescent="0.35">
      <c r="M17" s="4" t="s">
        <v>9</v>
      </c>
      <c r="N17" s="10">
        <f>IRR(N5:N15)</f>
        <v>0.17681377427677591</v>
      </c>
      <c r="O17" s="6"/>
      <c r="P17" s="6"/>
      <c r="Q17" s="6"/>
      <c r="R17" s="4" t="s">
        <v>9</v>
      </c>
      <c r="S17" s="32">
        <f>IRR(S5:S15)</f>
        <v>0.14024900097087145</v>
      </c>
      <c r="T17" s="40" t="s">
        <v>37</v>
      </c>
      <c r="U17" s="41"/>
    </row>
    <row r="18" spans="13:21" x14ac:dyDescent="0.35">
      <c r="M18" s="6"/>
      <c r="N18" s="6"/>
      <c r="P18" s="6"/>
      <c r="Q18" s="6"/>
      <c r="R18" s="6"/>
      <c r="S18" s="6"/>
    </row>
    <row r="19" spans="13:21" x14ac:dyDescent="0.35">
      <c r="M19" s="4" t="s">
        <v>4</v>
      </c>
      <c r="N19" s="13">
        <v>0.16</v>
      </c>
      <c r="O19" s="6"/>
      <c r="P19" s="6"/>
      <c r="Q19" s="6"/>
      <c r="R19" s="6"/>
      <c r="S19" s="6"/>
    </row>
    <row r="20" spans="13:21" x14ac:dyDescent="0.35">
      <c r="M20" s="4" t="s">
        <v>3</v>
      </c>
      <c r="N20" s="13">
        <v>0.35</v>
      </c>
      <c r="O20" s="6"/>
      <c r="P20" s="6"/>
      <c r="Q20" s="6"/>
      <c r="R20" s="6"/>
      <c r="S20" s="6"/>
    </row>
    <row r="21" spans="13:21" x14ac:dyDescent="0.35">
      <c r="M21" s="4" t="s">
        <v>2</v>
      </c>
      <c r="N21" s="13">
        <v>0.25</v>
      </c>
      <c r="O21" s="30" t="s">
        <v>36</v>
      </c>
      <c r="P21" s="20">
        <f>100/25</f>
        <v>4</v>
      </c>
      <c r="Q21" s="6" t="s">
        <v>22</v>
      </c>
      <c r="R21" s="6"/>
      <c r="S21" s="6"/>
    </row>
    <row r="24" spans="13:21" x14ac:dyDescent="0.35">
      <c r="M24" s="4" t="s">
        <v>0</v>
      </c>
      <c r="N24" s="4" t="s">
        <v>1</v>
      </c>
      <c r="O24" s="4" t="s">
        <v>5</v>
      </c>
      <c r="P24" s="4" t="s">
        <v>10</v>
      </c>
      <c r="Q24" s="4" t="s">
        <v>7</v>
      </c>
      <c r="R24" s="4" t="s">
        <v>3</v>
      </c>
      <c r="S24" s="4" t="s">
        <v>8</v>
      </c>
    </row>
    <row r="25" spans="13:21" x14ac:dyDescent="0.35">
      <c r="M25" s="4">
        <v>0</v>
      </c>
      <c r="N25" s="7">
        <f>N5</f>
        <v>-500000</v>
      </c>
      <c r="O25" s="8"/>
      <c r="P25" s="7">
        <v>500000</v>
      </c>
      <c r="Q25" s="8"/>
      <c r="R25" s="8"/>
      <c r="S25" s="9">
        <f>N25-R25</f>
        <v>-500000</v>
      </c>
    </row>
    <row r="26" spans="13:21" x14ac:dyDescent="0.35">
      <c r="M26" s="4">
        <v>1</v>
      </c>
      <c r="N26" s="7">
        <f t="shared" ref="N26:N34" si="5">N6</f>
        <v>110000</v>
      </c>
      <c r="O26" s="7">
        <f>$N$42*500000</f>
        <v>250000</v>
      </c>
      <c r="P26" s="9">
        <f>P25-O26</f>
        <v>250000</v>
      </c>
      <c r="Q26" s="23">
        <f>N26-O26</f>
        <v>-140000</v>
      </c>
      <c r="R26" s="23">
        <f>$N$41*Q26</f>
        <v>-49000</v>
      </c>
      <c r="S26" s="9">
        <f t="shared" ref="S26:S35" si="6">N26-R26</f>
        <v>159000</v>
      </c>
    </row>
    <row r="27" spans="13:21" x14ac:dyDescent="0.35">
      <c r="M27" s="4">
        <v>2</v>
      </c>
      <c r="N27" s="7">
        <f t="shared" si="5"/>
        <v>110000</v>
      </c>
      <c r="O27" s="7">
        <f>$N$42*500000</f>
        <v>250000</v>
      </c>
      <c r="P27" s="9">
        <f t="shared" ref="P27:P35" si="7">P26-O27</f>
        <v>0</v>
      </c>
      <c r="Q27" s="23">
        <f t="shared" ref="Q27:Q35" si="8">N27-O27</f>
        <v>-140000</v>
      </c>
      <c r="R27" s="23">
        <f t="shared" ref="R27:R35" si="9">$N$41*Q27</f>
        <v>-49000</v>
      </c>
      <c r="S27" s="9">
        <f t="shared" si="6"/>
        <v>159000</v>
      </c>
    </row>
    <row r="28" spans="13:21" x14ac:dyDescent="0.35">
      <c r="M28" s="4">
        <v>3</v>
      </c>
      <c r="N28" s="7">
        <f t="shared" si="5"/>
        <v>110000</v>
      </c>
      <c r="O28" s="7"/>
      <c r="P28" s="9">
        <f t="shared" si="7"/>
        <v>0</v>
      </c>
      <c r="Q28" s="38">
        <f t="shared" si="8"/>
        <v>110000</v>
      </c>
      <c r="R28" s="38">
        <f t="shared" si="9"/>
        <v>38500</v>
      </c>
      <c r="S28" s="9">
        <f t="shared" si="6"/>
        <v>71500</v>
      </c>
    </row>
    <row r="29" spans="13:21" x14ac:dyDescent="0.35">
      <c r="M29" s="4">
        <v>4</v>
      </c>
      <c r="N29" s="7">
        <f t="shared" si="5"/>
        <v>110000</v>
      </c>
      <c r="O29" s="7"/>
      <c r="P29" s="9">
        <f t="shared" si="7"/>
        <v>0</v>
      </c>
      <c r="Q29" s="38">
        <f t="shared" si="8"/>
        <v>110000</v>
      </c>
      <c r="R29" s="38">
        <f t="shared" si="9"/>
        <v>38500</v>
      </c>
      <c r="S29" s="9">
        <f t="shared" si="6"/>
        <v>71500</v>
      </c>
    </row>
    <row r="30" spans="13:21" x14ac:dyDescent="0.35">
      <c r="M30" s="4">
        <v>5</v>
      </c>
      <c r="N30" s="7">
        <f t="shared" si="5"/>
        <v>110000</v>
      </c>
      <c r="O30" s="7"/>
      <c r="P30" s="9">
        <f t="shared" si="7"/>
        <v>0</v>
      </c>
      <c r="Q30" s="38">
        <f t="shared" si="8"/>
        <v>110000</v>
      </c>
      <c r="R30" s="38">
        <f t="shared" si="9"/>
        <v>38500</v>
      </c>
      <c r="S30" s="9">
        <f t="shared" si="6"/>
        <v>71500</v>
      </c>
    </row>
    <row r="31" spans="13:21" x14ac:dyDescent="0.35">
      <c r="M31" s="4">
        <v>6</v>
      </c>
      <c r="N31" s="7">
        <f t="shared" si="5"/>
        <v>110000</v>
      </c>
      <c r="O31" s="7"/>
      <c r="P31" s="9">
        <f t="shared" si="7"/>
        <v>0</v>
      </c>
      <c r="Q31" s="38">
        <f t="shared" si="8"/>
        <v>110000</v>
      </c>
      <c r="R31" s="38">
        <f>$N$41*Q31</f>
        <v>38500</v>
      </c>
      <c r="S31" s="9">
        <f t="shared" si="6"/>
        <v>71500</v>
      </c>
    </row>
    <row r="32" spans="13:21" x14ac:dyDescent="0.35">
      <c r="M32" s="4">
        <v>7</v>
      </c>
      <c r="N32" s="7">
        <f t="shared" si="5"/>
        <v>110000</v>
      </c>
      <c r="O32" s="7"/>
      <c r="P32" s="9">
        <f t="shared" si="7"/>
        <v>0</v>
      </c>
      <c r="Q32" s="38">
        <f t="shared" si="8"/>
        <v>110000</v>
      </c>
      <c r="R32" s="38">
        <f t="shared" si="9"/>
        <v>38500</v>
      </c>
      <c r="S32" s="9">
        <f t="shared" si="6"/>
        <v>71500</v>
      </c>
    </row>
    <row r="33" spans="13:21" x14ac:dyDescent="0.35">
      <c r="M33" s="4">
        <v>8</v>
      </c>
      <c r="N33" s="7">
        <f t="shared" si="5"/>
        <v>110000</v>
      </c>
      <c r="O33" s="7"/>
      <c r="P33" s="9">
        <f t="shared" si="7"/>
        <v>0</v>
      </c>
      <c r="Q33" s="38">
        <f t="shared" si="8"/>
        <v>110000</v>
      </c>
      <c r="R33" s="38">
        <f t="shared" si="9"/>
        <v>38500</v>
      </c>
      <c r="S33" s="9">
        <f t="shared" si="6"/>
        <v>71500</v>
      </c>
    </row>
    <row r="34" spans="13:21" x14ac:dyDescent="0.35">
      <c r="M34" s="4">
        <v>9</v>
      </c>
      <c r="N34" s="7">
        <f t="shared" si="5"/>
        <v>110000</v>
      </c>
      <c r="O34" s="7"/>
      <c r="P34" s="9">
        <f t="shared" si="7"/>
        <v>0</v>
      </c>
      <c r="Q34" s="38">
        <f t="shared" si="8"/>
        <v>110000</v>
      </c>
      <c r="R34" s="38">
        <f t="shared" si="9"/>
        <v>38500</v>
      </c>
      <c r="S34" s="9">
        <f t="shared" si="6"/>
        <v>71500</v>
      </c>
    </row>
    <row r="35" spans="13:21" x14ac:dyDescent="0.35">
      <c r="M35" s="4">
        <v>10</v>
      </c>
      <c r="N35" s="7">
        <f>N15+50000</f>
        <v>160000</v>
      </c>
      <c r="O35" s="7"/>
      <c r="P35" s="9">
        <f t="shared" si="7"/>
        <v>0</v>
      </c>
      <c r="Q35" s="38">
        <f t="shared" si="8"/>
        <v>160000</v>
      </c>
      <c r="R35" s="38">
        <f t="shared" si="9"/>
        <v>56000</v>
      </c>
      <c r="S35" s="9">
        <f t="shared" si="6"/>
        <v>104000</v>
      </c>
    </row>
    <row r="36" spans="13:21" x14ac:dyDescent="0.35">
      <c r="M36" s="6"/>
      <c r="N36" s="6"/>
      <c r="O36" s="6"/>
      <c r="P36" s="6"/>
      <c r="Q36" s="6"/>
      <c r="R36" s="6"/>
      <c r="S36" s="6"/>
    </row>
    <row r="37" spans="13:21" x14ac:dyDescent="0.35">
      <c r="M37" s="4" t="s">
        <v>9</v>
      </c>
      <c r="N37" s="10">
        <f>IRR(N25:N35)</f>
        <v>0.18213719136167028</v>
      </c>
      <c r="O37" s="6"/>
      <c r="P37" s="6"/>
      <c r="Q37" s="6"/>
      <c r="R37" s="4" t="s">
        <v>9</v>
      </c>
      <c r="S37" s="32">
        <f>IRR(S25:S35)</f>
        <v>0.15573205523823974</v>
      </c>
      <c r="T37" s="40" t="s">
        <v>37</v>
      </c>
      <c r="U37" s="41"/>
    </row>
    <row r="40" spans="13:21" x14ac:dyDescent="0.35">
      <c r="M40" s="4" t="s">
        <v>4</v>
      </c>
      <c r="N40" s="13">
        <v>0.16</v>
      </c>
    </row>
    <row r="41" spans="13:21" x14ac:dyDescent="0.35">
      <c r="M41" s="4" t="s">
        <v>3</v>
      </c>
      <c r="N41" s="13">
        <v>0.35</v>
      </c>
    </row>
    <row r="42" spans="13:21" x14ac:dyDescent="0.35">
      <c r="M42" s="4" t="s">
        <v>2</v>
      </c>
      <c r="N42" s="13">
        <v>0.5</v>
      </c>
    </row>
  </sheetData>
  <mergeCells count="2">
    <mergeCell ref="T17:U17"/>
    <mergeCell ref="T37:U3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O16:AE63"/>
  <sheetViews>
    <sheetView topLeftCell="P1" zoomScale="110" zoomScaleNormal="110" workbookViewId="0">
      <selection activeCell="V63" sqref="V63"/>
    </sheetView>
  </sheetViews>
  <sheetFormatPr defaultColWidth="9.109375" defaultRowHeight="14.4" x14ac:dyDescent="0.3"/>
  <cols>
    <col min="1" max="14" width="9.109375" style="1"/>
    <col min="15" max="15" width="24.109375" style="1" bestFit="1" customWidth="1"/>
    <col min="16" max="16" width="20" style="1" customWidth="1"/>
    <col min="17" max="17" width="13.5546875" style="1" bestFit="1" customWidth="1"/>
    <col min="18" max="18" width="3.6640625" style="1" customWidth="1"/>
    <col min="19" max="19" width="6.5546875" style="1" bestFit="1" customWidth="1"/>
    <col min="20" max="20" width="25.5546875" style="1" customWidth="1"/>
    <col min="21" max="21" width="19.6640625" style="1" bestFit="1" customWidth="1"/>
    <col min="22" max="22" width="27.44140625" style="1" bestFit="1" customWidth="1"/>
    <col min="23" max="23" width="22" style="1" bestFit="1" customWidth="1"/>
    <col min="24" max="24" width="19.6640625" style="1" bestFit="1" customWidth="1"/>
    <col min="25" max="25" width="27.44140625" style="1" bestFit="1" customWidth="1"/>
    <col min="26" max="16384" width="9.109375" style="1"/>
  </cols>
  <sheetData>
    <row r="16" spans="16:16" x14ac:dyDescent="0.3">
      <c r="P16" s="22"/>
    </row>
    <row r="17" spans="15:31" x14ac:dyDescent="0.3">
      <c r="S17" s="42" t="s">
        <v>30</v>
      </c>
      <c r="T17" s="42"/>
      <c r="U17" s="42"/>
      <c r="V17" s="42"/>
      <c r="W17" s="42"/>
      <c r="X17" s="42"/>
      <c r="Y17" s="42"/>
    </row>
    <row r="19" spans="15:31" ht="18" x14ac:dyDescent="0.35">
      <c r="O19" s="47" t="s">
        <v>16</v>
      </c>
      <c r="P19" s="47"/>
      <c r="Q19" s="47"/>
    </row>
    <row r="20" spans="15:31" ht="18" x14ac:dyDescent="0.35">
      <c r="O20" s="8" t="s">
        <v>11</v>
      </c>
      <c r="P20" s="43">
        <v>850000</v>
      </c>
      <c r="Q20" s="44"/>
      <c r="S20" s="4" t="s">
        <v>0</v>
      </c>
      <c r="T20" s="4" t="s">
        <v>1</v>
      </c>
      <c r="U20" s="4" t="s">
        <v>5</v>
      </c>
      <c r="V20" s="4" t="s">
        <v>10</v>
      </c>
      <c r="W20" s="4" t="s">
        <v>7</v>
      </c>
      <c r="X20" s="4" t="s">
        <v>3</v>
      </c>
      <c r="Y20" s="4" t="s">
        <v>8</v>
      </c>
    </row>
    <row r="21" spans="15:31" ht="18" x14ac:dyDescent="0.35">
      <c r="O21" s="8" t="s">
        <v>12</v>
      </c>
      <c r="P21" s="43">
        <v>170000</v>
      </c>
      <c r="Q21" s="44"/>
      <c r="S21" s="4">
        <v>0</v>
      </c>
      <c r="T21" s="7">
        <f>-P20</f>
        <v>-850000</v>
      </c>
      <c r="U21" s="8"/>
      <c r="V21" s="9">
        <v>850000</v>
      </c>
      <c r="W21" s="8"/>
      <c r="X21" s="8"/>
      <c r="Y21" s="9">
        <f>T21-X21</f>
        <v>-850000</v>
      </c>
    </row>
    <row r="22" spans="15:31" ht="18" x14ac:dyDescent="0.35">
      <c r="O22" s="8" t="s">
        <v>20</v>
      </c>
      <c r="P22" s="16">
        <v>108000</v>
      </c>
      <c r="Q22" s="17" t="s">
        <v>17</v>
      </c>
      <c r="S22" s="4">
        <v>1</v>
      </c>
      <c r="T22" s="7">
        <f>$P$24*$P$25-$P$22</f>
        <v>415200</v>
      </c>
      <c r="U22" s="7">
        <f>$P$26*$P$20</f>
        <v>127500</v>
      </c>
      <c r="V22" s="9">
        <f>V21-U22</f>
        <v>722500</v>
      </c>
      <c r="W22" s="9">
        <f>T22-U22</f>
        <v>287700</v>
      </c>
      <c r="X22" s="7">
        <f>$P$27*W22</f>
        <v>100695</v>
      </c>
      <c r="Y22" s="9">
        <f t="shared" ref="Y22:Y26" si="0">T22-X22</f>
        <v>314505</v>
      </c>
    </row>
    <row r="23" spans="15:31" ht="18" x14ac:dyDescent="0.35">
      <c r="O23" s="8" t="s">
        <v>4</v>
      </c>
      <c r="P23" s="18">
        <v>0.18</v>
      </c>
      <c r="Q23" s="17"/>
      <c r="S23" s="4">
        <v>2</v>
      </c>
      <c r="T23" s="7">
        <f t="shared" ref="T23:T25" si="1">$P$24*$P$25-$P$22</f>
        <v>415200</v>
      </c>
      <c r="U23" s="7">
        <f t="shared" ref="U23:U26" si="2">$P$26*$P$20</f>
        <v>127500</v>
      </c>
      <c r="V23" s="9">
        <f>V22-U23</f>
        <v>595000</v>
      </c>
      <c r="W23" s="9">
        <f t="shared" ref="W23:W25" si="3">T23-U23</f>
        <v>287700</v>
      </c>
      <c r="X23" s="7">
        <f t="shared" ref="X23:X26" si="4">$P$27*W23</f>
        <v>100695</v>
      </c>
      <c r="Y23" s="9">
        <f t="shared" si="0"/>
        <v>314505</v>
      </c>
    </row>
    <row r="24" spans="15:31" ht="18" x14ac:dyDescent="0.35">
      <c r="O24" s="8" t="s">
        <v>13</v>
      </c>
      <c r="P24" s="16">
        <v>218</v>
      </c>
      <c r="Q24" s="17" t="s">
        <v>18</v>
      </c>
      <c r="S24" s="4">
        <v>3</v>
      </c>
      <c r="T24" s="7">
        <f t="shared" si="1"/>
        <v>415200</v>
      </c>
      <c r="U24" s="7">
        <f t="shared" si="2"/>
        <v>127500</v>
      </c>
      <c r="V24" s="9">
        <f t="shared" ref="V24:V26" si="5">V23-U24</f>
        <v>467500</v>
      </c>
      <c r="W24" s="9">
        <f t="shared" si="3"/>
        <v>287700</v>
      </c>
      <c r="X24" s="7">
        <f t="shared" si="4"/>
        <v>100695</v>
      </c>
      <c r="Y24" s="9">
        <f t="shared" si="0"/>
        <v>314505</v>
      </c>
    </row>
    <row r="25" spans="15:31" ht="18" x14ac:dyDescent="0.35">
      <c r="O25" s="8" t="s">
        <v>14</v>
      </c>
      <c r="P25" s="19">
        <v>2400</v>
      </c>
      <c r="Q25" s="17" t="s">
        <v>19</v>
      </c>
      <c r="S25" s="4">
        <v>4</v>
      </c>
      <c r="T25" s="7">
        <f t="shared" si="1"/>
        <v>415200</v>
      </c>
      <c r="U25" s="7">
        <f t="shared" si="2"/>
        <v>127500</v>
      </c>
      <c r="V25" s="9">
        <f t="shared" si="5"/>
        <v>340000</v>
      </c>
      <c r="W25" s="9">
        <f t="shared" si="3"/>
        <v>287700</v>
      </c>
      <c r="X25" s="7">
        <f t="shared" si="4"/>
        <v>100695</v>
      </c>
      <c r="Y25" s="9">
        <f t="shared" si="0"/>
        <v>314505</v>
      </c>
    </row>
    <row r="26" spans="15:31" ht="18" x14ac:dyDescent="0.35">
      <c r="O26" s="8" t="s">
        <v>5</v>
      </c>
      <c r="P26" s="45">
        <v>0.15</v>
      </c>
      <c r="Q26" s="46"/>
      <c r="S26" s="4">
        <v>5</v>
      </c>
      <c r="T26" s="7">
        <f>$P$24*$P$25-$P$22+P21</f>
        <v>585200</v>
      </c>
      <c r="U26" s="7">
        <f t="shared" si="2"/>
        <v>127500</v>
      </c>
      <c r="V26" s="31">
        <f t="shared" si="5"/>
        <v>212500</v>
      </c>
      <c r="W26" s="9">
        <f>T26-U26-V26</f>
        <v>245200</v>
      </c>
      <c r="X26" s="7">
        <f t="shared" si="4"/>
        <v>85820</v>
      </c>
      <c r="Y26" s="9">
        <f t="shared" si="0"/>
        <v>499380</v>
      </c>
    </row>
    <row r="27" spans="15:31" ht="18" x14ac:dyDescent="0.35">
      <c r="O27" s="8" t="s">
        <v>3</v>
      </c>
      <c r="P27" s="45">
        <v>0.35</v>
      </c>
      <c r="Q27" s="46"/>
      <c r="S27" s="3"/>
      <c r="T27" s="14"/>
      <c r="U27" s="6"/>
      <c r="V27" s="14"/>
      <c r="W27" s="15"/>
      <c r="X27" s="15"/>
      <c r="Y27" s="15"/>
    </row>
    <row r="28" spans="15:31" ht="18" x14ac:dyDescent="0.35">
      <c r="O28" s="8" t="s">
        <v>21</v>
      </c>
      <c r="P28" s="8">
        <f>100/15</f>
        <v>6.666666666666667</v>
      </c>
      <c r="Q28" s="8" t="s">
        <v>22</v>
      </c>
      <c r="R28" s="6"/>
      <c r="S28" s="5" t="s">
        <v>15</v>
      </c>
      <c r="T28" s="21">
        <f>NPV(P23,T22:T26)+T21</f>
        <v>522709.97465425381</v>
      </c>
      <c r="U28" s="15"/>
      <c r="V28" s="15"/>
      <c r="X28" s="5" t="s">
        <v>15</v>
      </c>
      <c r="Y28" s="36">
        <f>NPV(P23,Y22:Y26)+Y21</f>
        <v>214321.48829193763</v>
      </c>
      <c r="Z28" s="47" t="s">
        <v>25</v>
      </c>
      <c r="AA28" s="47"/>
      <c r="AB28" s="47"/>
      <c r="AC28" s="47"/>
      <c r="AD28" s="47"/>
      <c r="AE28" s="47"/>
    </row>
    <row r="29" spans="15:31" ht="18" x14ac:dyDescent="0.35">
      <c r="O29" s="3"/>
      <c r="P29" s="14"/>
      <c r="Q29" s="14"/>
      <c r="R29" s="6"/>
      <c r="S29" s="14"/>
      <c r="T29" s="15"/>
      <c r="U29" s="15"/>
      <c r="V29" s="15"/>
      <c r="X29" s="5" t="s">
        <v>26</v>
      </c>
      <c r="Y29" s="36">
        <v>174.07</v>
      </c>
      <c r="Z29" s="47" t="s">
        <v>29</v>
      </c>
      <c r="AA29" s="47"/>
      <c r="AB29" s="47"/>
      <c r="AC29" s="47"/>
      <c r="AD29" s="47"/>
      <c r="AE29" s="47"/>
    </row>
    <row r="30" spans="15:31" ht="18" x14ac:dyDescent="0.35">
      <c r="O30" s="3"/>
      <c r="P30" s="14"/>
      <c r="Q30" s="14"/>
      <c r="R30" s="6"/>
      <c r="S30" s="14"/>
      <c r="T30" s="15"/>
      <c r="U30" s="15"/>
      <c r="V30" s="15"/>
      <c r="X30" s="5" t="s">
        <v>14</v>
      </c>
      <c r="Y30" s="36" t="s">
        <v>27</v>
      </c>
      <c r="Z30" s="47" t="s">
        <v>28</v>
      </c>
      <c r="AA30" s="47"/>
      <c r="AB30" s="47"/>
      <c r="AC30" s="47"/>
      <c r="AD30" s="47"/>
      <c r="AE30" s="47"/>
    </row>
    <row r="31" spans="15:31" ht="18" x14ac:dyDescent="0.35">
      <c r="S31" s="3"/>
      <c r="T31" s="3"/>
      <c r="U31" s="3"/>
      <c r="V31" s="3"/>
      <c r="W31" s="3"/>
      <c r="X31" s="3"/>
      <c r="Y31" s="3"/>
    </row>
    <row r="32" spans="15:31" ht="18" x14ac:dyDescent="0.35">
      <c r="S32" s="3"/>
      <c r="T32" s="14"/>
      <c r="U32" s="6"/>
      <c r="V32" s="6"/>
      <c r="W32" s="6"/>
      <c r="X32" s="6"/>
      <c r="Y32" s="15"/>
    </row>
    <row r="33" spans="19:31" ht="18" x14ac:dyDescent="0.35">
      <c r="S33" s="3"/>
      <c r="T33" s="14"/>
      <c r="U33" s="14"/>
      <c r="V33" s="15"/>
      <c r="W33" s="15"/>
      <c r="X33" s="15"/>
      <c r="Y33" s="15"/>
    </row>
    <row r="34" spans="19:31" x14ac:dyDescent="0.3">
      <c r="S34" s="42" t="s">
        <v>31</v>
      </c>
      <c r="T34" s="42"/>
      <c r="U34" s="42"/>
      <c r="V34" s="42"/>
      <c r="W34" s="42"/>
      <c r="X34" s="42"/>
      <c r="Y34" s="42"/>
    </row>
    <row r="35" spans="19:31" ht="18" x14ac:dyDescent="0.35">
      <c r="S35" s="3"/>
      <c r="T35" s="14" t="s">
        <v>32</v>
      </c>
      <c r="U35" s="14"/>
      <c r="V35" s="15"/>
      <c r="W35" s="15"/>
      <c r="X35" s="15"/>
      <c r="Y35" s="15"/>
    </row>
    <row r="37" spans="19:31" ht="18" x14ac:dyDescent="0.35">
      <c r="S37" s="4" t="s">
        <v>0</v>
      </c>
      <c r="T37" s="4" t="s">
        <v>1</v>
      </c>
      <c r="U37" s="4" t="s">
        <v>5</v>
      </c>
      <c r="V37" s="4" t="s">
        <v>10</v>
      </c>
      <c r="W37" s="4" t="s">
        <v>7</v>
      </c>
      <c r="X37" s="4" t="s">
        <v>3</v>
      </c>
      <c r="Y37" s="4" t="s">
        <v>8</v>
      </c>
    </row>
    <row r="38" spans="19:31" ht="18" x14ac:dyDescent="0.35">
      <c r="S38" s="4">
        <v>0</v>
      </c>
      <c r="T38" s="37">
        <f>-P20</f>
        <v>-850000</v>
      </c>
      <c r="U38" s="8"/>
      <c r="V38" s="9">
        <v>850000</v>
      </c>
      <c r="W38" s="8"/>
      <c r="X38" s="8"/>
      <c r="Y38" s="9">
        <f>T38-X38</f>
        <v>-850000</v>
      </c>
    </row>
    <row r="39" spans="19:31" ht="18" x14ac:dyDescent="0.35">
      <c r="S39" s="4">
        <v>1</v>
      </c>
      <c r="T39" s="37">
        <f>-$P$22</f>
        <v>-108000</v>
      </c>
      <c r="U39" s="7">
        <f>$P$26*$P$20</f>
        <v>127500</v>
      </c>
      <c r="V39" s="9">
        <f>V38-U39</f>
        <v>722500</v>
      </c>
      <c r="W39" s="23">
        <f>T39-U39</f>
        <v>-235500</v>
      </c>
      <c r="X39" s="37">
        <f>$P$27*W39</f>
        <v>-82425</v>
      </c>
      <c r="Y39" s="9">
        <f t="shared" ref="Y39:Y43" si="6">T39-X39</f>
        <v>-25575</v>
      </c>
    </row>
    <row r="40" spans="19:31" ht="18" x14ac:dyDescent="0.35">
      <c r="S40" s="4">
        <v>2</v>
      </c>
      <c r="T40" s="37">
        <f t="shared" ref="T40:T42" si="7">-$P$22</f>
        <v>-108000</v>
      </c>
      <c r="U40" s="7">
        <f t="shared" ref="U40:U43" si="8">$P$26*$P$20</f>
        <v>127500</v>
      </c>
      <c r="V40" s="9">
        <f t="shared" ref="V40:V43" si="9">V39-U40</f>
        <v>595000</v>
      </c>
      <c r="W40" s="23">
        <f t="shared" ref="W40:W42" si="10">T40-U40</f>
        <v>-235500</v>
      </c>
      <c r="X40" s="37">
        <f t="shared" ref="X40:X43" si="11">$P$27*W40</f>
        <v>-82425</v>
      </c>
      <c r="Y40" s="9">
        <f t="shared" si="6"/>
        <v>-25575</v>
      </c>
    </row>
    <row r="41" spans="19:31" ht="18" x14ac:dyDescent="0.35">
      <c r="S41" s="4">
        <v>3</v>
      </c>
      <c r="T41" s="37">
        <f t="shared" si="7"/>
        <v>-108000</v>
      </c>
      <c r="U41" s="7">
        <f t="shared" si="8"/>
        <v>127500</v>
      </c>
      <c r="V41" s="9">
        <f t="shared" si="9"/>
        <v>467500</v>
      </c>
      <c r="W41" s="23">
        <f t="shared" si="10"/>
        <v>-235500</v>
      </c>
      <c r="X41" s="37">
        <f t="shared" si="11"/>
        <v>-82425</v>
      </c>
      <c r="Y41" s="9">
        <f t="shared" si="6"/>
        <v>-25575</v>
      </c>
    </row>
    <row r="42" spans="19:31" ht="18" x14ac:dyDescent="0.35">
      <c r="S42" s="4">
        <v>4</v>
      </c>
      <c r="T42" s="37">
        <f t="shared" si="7"/>
        <v>-108000</v>
      </c>
      <c r="U42" s="7">
        <f t="shared" si="8"/>
        <v>127500</v>
      </c>
      <c r="V42" s="9">
        <f t="shared" si="9"/>
        <v>340000</v>
      </c>
      <c r="W42" s="23">
        <f t="shared" si="10"/>
        <v>-235500</v>
      </c>
      <c r="X42" s="37">
        <f t="shared" si="11"/>
        <v>-82425</v>
      </c>
      <c r="Y42" s="9">
        <f t="shared" si="6"/>
        <v>-25575</v>
      </c>
    </row>
    <row r="43" spans="19:31" ht="18" x14ac:dyDescent="0.35">
      <c r="S43" s="4">
        <v>5</v>
      </c>
      <c r="T43" s="7">
        <f>-$P$22+P21</f>
        <v>62000</v>
      </c>
      <c r="U43" s="7">
        <f t="shared" si="8"/>
        <v>127500</v>
      </c>
      <c r="V43" s="31">
        <f t="shared" si="9"/>
        <v>212500</v>
      </c>
      <c r="W43" s="23">
        <f>T43-U43-V43</f>
        <v>-278000</v>
      </c>
      <c r="X43" s="37">
        <f t="shared" si="11"/>
        <v>-97300</v>
      </c>
      <c r="Y43" s="9">
        <f t="shared" si="6"/>
        <v>159300</v>
      </c>
    </row>
    <row r="44" spans="19:31" ht="18" x14ac:dyDescent="0.35">
      <c r="S44" s="3"/>
      <c r="T44" s="14"/>
      <c r="U44" s="6"/>
      <c r="V44" s="14"/>
      <c r="W44" s="15"/>
      <c r="X44" s="15"/>
      <c r="Y44" s="15"/>
    </row>
    <row r="45" spans="19:31" ht="18" x14ac:dyDescent="0.35">
      <c r="S45" s="5" t="s">
        <v>15</v>
      </c>
      <c r="T45" s="21">
        <f>NPV(P23,T39:T43)+T38</f>
        <v>-1113425.9035025469</v>
      </c>
      <c r="U45" s="15"/>
      <c r="V45" s="15"/>
      <c r="X45" s="5" t="s">
        <v>15</v>
      </c>
      <c r="Y45" s="36">
        <f>NPV(P23,Y39:Y43)+Y38</f>
        <v>-849166.83250998298</v>
      </c>
      <c r="Z45" s="47" t="s">
        <v>34</v>
      </c>
      <c r="AA45" s="47"/>
      <c r="AB45" s="47"/>
      <c r="AC45" s="47"/>
      <c r="AD45" s="47"/>
      <c r="AE45" s="47"/>
    </row>
    <row r="48" spans="19:31" ht="18" x14ac:dyDescent="0.35">
      <c r="T48" s="14" t="s">
        <v>33</v>
      </c>
    </row>
    <row r="50" spans="19:31" ht="18" x14ac:dyDescent="0.35">
      <c r="S50" s="4" t="s">
        <v>0</v>
      </c>
      <c r="T50" s="4" t="s">
        <v>1</v>
      </c>
      <c r="U50" s="4" t="s">
        <v>5</v>
      </c>
      <c r="V50" s="4" t="s">
        <v>10</v>
      </c>
      <c r="W50" s="4" t="s">
        <v>7</v>
      </c>
      <c r="X50" s="4" t="s">
        <v>3</v>
      </c>
      <c r="Y50" s="4" t="s">
        <v>8</v>
      </c>
    </row>
    <row r="51" spans="19:31" ht="18" x14ac:dyDescent="0.35">
      <c r="S51" s="4">
        <v>0</v>
      </c>
      <c r="T51" s="7"/>
      <c r="U51" s="8"/>
      <c r="V51" s="9"/>
      <c r="W51" s="8"/>
      <c r="X51" s="8"/>
      <c r="Y51" s="9">
        <f>T51-X51</f>
        <v>0</v>
      </c>
    </row>
    <row r="52" spans="19:31" ht="18" x14ac:dyDescent="0.35">
      <c r="S52" s="4">
        <v>1</v>
      </c>
      <c r="T52" s="7">
        <f>-$P$24*$P$25</f>
        <v>-523200</v>
      </c>
      <c r="U52" s="7"/>
      <c r="V52" s="9"/>
      <c r="W52" s="9">
        <f>T52</f>
        <v>-523200</v>
      </c>
      <c r="X52" s="7">
        <f>$P$27*W52</f>
        <v>-183120</v>
      </c>
      <c r="Y52" s="9">
        <f t="shared" ref="Y52:Y56" si="12">T52-X52</f>
        <v>-340080</v>
      </c>
    </row>
    <row r="53" spans="19:31" ht="18" x14ac:dyDescent="0.35">
      <c r="S53" s="4">
        <v>2</v>
      </c>
      <c r="T53" s="7">
        <f t="shared" ref="T53:T56" si="13">-$P$24*$P$25</f>
        <v>-523200</v>
      </c>
      <c r="U53" s="7"/>
      <c r="V53" s="9"/>
      <c r="W53" s="9">
        <f t="shared" ref="W53:W56" si="14">T53</f>
        <v>-523200</v>
      </c>
      <c r="X53" s="7">
        <f t="shared" ref="X53:X56" si="15">$P$27*W53</f>
        <v>-183120</v>
      </c>
      <c r="Y53" s="9">
        <f t="shared" si="12"/>
        <v>-340080</v>
      </c>
    </row>
    <row r="54" spans="19:31" ht="18" x14ac:dyDescent="0.35">
      <c r="S54" s="4">
        <v>3</v>
      </c>
      <c r="T54" s="7">
        <f t="shared" si="13"/>
        <v>-523200</v>
      </c>
      <c r="U54" s="7"/>
      <c r="V54" s="9"/>
      <c r="W54" s="9">
        <f t="shared" si="14"/>
        <v>-523200</v>
      </c>
      <c r="X54" s="7">
        <f t="shared" si="15"/>
        <v>-183120</v>
      </c>
      <c r="Y54" s="9">
        <f t="shared" si="12"/>
        <v>-340080</v>
      </c>
    </row>
    <row r="55" spans="19:31" ht="18" x14ac:dyDescent="0.35">
      <c r="S55" s="4">
        <v>4</v>
      </c>
      <c r="T55" s="7">
        <f t="shared" si="13"/>
        <v>-523200</v>
      </c>
      <c r="U55" s="7"/>
      <c r="V55" s="9"/>
      <c r="W55" s="9">
        <f t="shared" si="14"/>
        <v>-523200</v>
      </c>
      <c r="X55" s="7">
        <f t="shared" si="15"/>
        <v>-183120</v>
      </c>
      <c r="Y55" s="9">
        <f t="shared" si="12"/>
        <v>-340080</v>
      </c>
    </row>
    <row r="56" spans="19:31" ht="18" x14ac:dyDescent="0.35">
      <c r="S56" s="4">
        <v>5</v>
      </c>
      <c r="T56" s="7">
        <f t="shared" si="13"/>
        <v>-523200</v>
      </c>
      <c r="U56" s="7"/>
      <c r="V56" s="9"/>
      <c r="W56" s="9">
        <f t="shared" si="14"/>
        <v>-523200</v>
      </c>
      <c r="X56" s="7">
        <f t="shared" si="15"/>
        <v>-183120</v>
      </c>
      <c r="Y56" s="9">
        <f t="shared" si="12"/>
        <v>-340080</v>
      </c>
    </row>
    <row r="57" spans="19:31" ht="18" x14ac:dyDescent="0.35">
      <c r="S57" s="3"/>
      <c r="T57" s="14"/>
      <c r="U57" s="6"/>
      <c r="V57" s="14"/>
      <c r="W57" s="15"/>
      <c r="X57" s="15"/>
      <c r="Y57" s="15"/>
    </row>
    <row r="58" spans="19:31" ht="18" x14ac:dyDescent="0.35">
      <c r="S58" s="5" t="s">
        <v>15</v>
      </c>
      <c r="T58" s="21">
        <f>NPV(P23,T52:T56)+T51</f>
        <v>-1636135.8781568008</v>
      </c>
      <c r="U58" s="15"/>
      <c r="V58" s="15"/>
      <c r="X58" s="5" t="s">
        <v>15</v>
      </c>
      <c r="Y58" s="36">
        <f>NPV(P23,Y52:Y56)+Y51</f>
        <v>-1063488.3208019203</v>
      </c>
    </row>
    <row r="62" spans="19:31" ht="18" x14ac:dyDescent="0.35">
      <c r="X62" s="5" t="s">
        <v>26</v>
      </c>
      <c r="Y62" s="36">
        <v>174.07</v>
      </c>
      <c r="Z62" s="47" t="s">
        <v>29</v>
      </c>
      <c r="AA62" s="47"/>
      <c r="AB62" s="47"/>
      <c r="AC62" s="47"/>
      <c r="AD62" s="47"/>
      <c r="AE62" s="47"/>
    </row>
    <row r="63" spans="19:31" ht="18" x14ac:dyDescent="0.35">
      <c r="X63" s="5" t="s">
        <v>14</v>
      </c>
      <c r="Y63" s="36" t="s">
        <v>27</v>
      </c>
      <c r="Z63" s="47" t="s">
        <v>28</v>
      </c>
      <c r="AA63" s="47"/>
      <c r="AB63" s="47"/>
      <c r="AC63" s="47"/>
      <c r="AD63" s="47"/>
      <c r="AE63" s="47"/>
    </row>
  </sheetData>
  <mergeCells count="13">
    <mergeCell ref="S34:Y34"/>
    <mergeCell ref="Z45:AE45"/>
    <mergeCell ref="Z62:AE62"/>
    <mergeCell ref="Z63:AE63"/>
    <mergeCell ref="O19:Q19"/>
    <mergeCell ref="Z29:AE29"/>
    <mergeCell ref="Z30:AE30"/>
    <mergeCell ref="Z28:AE28"/>
    <mergeCell ref="S17:Y17"/>
    <mergeCell ref="P20:Q20"/>
    <mergeCell ref="P21:Q21"/>
    <mergeCell ref="P26:Q26"/>
    <mergeCell ref="P27:Q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Miranda</dc:creator>
  <cp:lastModifiedBy>Rafael  de Carvalho Miranda</cp:lastModifiedBy>
  <dcterms:created xsi:type="dcterms:W3CDTF">2016-06-10T13:34:13Z</dcterms:created>
  <dcterms:modified xsi:type="dcterms:W3CDTF">2024-06-06T22:01:47Z</dcterms:modified>
</cp:coreProperties>
</file>