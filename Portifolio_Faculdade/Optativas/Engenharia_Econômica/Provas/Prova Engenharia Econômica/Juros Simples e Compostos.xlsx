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6"/>
  </bookViews>
  <sheets>
    <sheet name="Ex 3" sheetId="2" r:id="rId1"/>
    <sheet name="Ex 4 -6" sheetId="5" r:id="rId2"/>
    <sheet name="Ex 7" sheetId="3" r:id="rId3"/>
    <sheet name="EX 8" sheetId="4" r:id="rId4"/>
    <sheet name="EX 9" sheetId="6" r:id="rId5"/>
    <sheet name="Ex 10" sheetId="7" r:id="rId6"/>
    <sheet name="Aula 01" sheetId="8" r:id="rId7"/>
  </sheets>
  <definedNames>
    <definedName name="solver_adj" localSheetId="0" hidden="1">'Ex 3'!$M$55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'Ex 3'!$M$55</definedName>
    <definedName name="solver_lhs2" localSheetId="0" hidden="1">'Ex 3'!$M$55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'Ex 3'!$M$56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1000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<sst xmlns="http://schemas.openxmlformats.org/spreadsheetml/2006/main" count="137" uniqueCount="49">
  <si>
    <t>P =</t>
  </si>
  <si>
    <t>$</t>
  </si>
  <si>
    <t>i =</t>
  </si>
  <si>
    <t>am</t>
  </si>
  <si>
    <t>n =</t>
  </si>
  <si>
    <t>meses</t>
  </si>
  <si>
    <t>n</t>
  </si>
  <si>
    <t>Juros Simples</t>
  </si>
  <si>
    <t>Juros Compostos</t>
  </si>
  <si>
    <t>P</t>
  </si>
  <si>
    <t>F</t>
  </si>
  <si>
    <t>i</t>
  </si>
  <si>
    <t>anos</t>
  </si>
  <si>
    <t>aa</t>
  </si>
  <si>
    <t>dias</t>
  </si>
  <si>
    <t>ad</t>
  </si>
  <si>
    <t>Mês</t>
  </si>
  <si>
    <t>Rendimento</t>
  </si>
  <si>
    <t>Aux</t>
  </si>
  <si>
    <t>(1+i)</t>
  </si>
  <si>
    <t>Taxa Acumulada =</t>
  </si>
  <si>
    <t>a5m</t>
  </si>
  <si>
    <t>F =</t>
  </si>
  <si>
    <t>F=</t>
  </si>
  <si>
    <t>Inflação</t>
  </si>
  <si>
    <t>ip =</t>
  </si>
  <si>
    <t xml:space="preserve">im = </t>
  </si>
  <si>
    <t>ia</t>
  </si>
  <si>
    <t>im</t>
  </si>
  <si>
    <t>Inf</t>
  </si>
  <si>
    <r>
      <rPr>
        <b/>
        <sz val="22"/>
        <color theme="1"/>
        <rFont val="Calibri"/>
        <charset val="134"/>
        <scheme val="minor"/>
      </rPr>
      <t>i</t>
    </r>
    <r>
      <rPr>
        <b/>
        <vertAlign val="subscript"/>
        <sz val="22"/>
        <color theme="1"/>
        <rFont val="Calibri"/>
        <charset val="134"/>
        <scheme val="minor"/>
      </rPr>
      <t>pn</t>
    </r>
  </si>
  <si>
    <t>ir</t>
  </si>
  <si>
    <r>
      <rPr>
        <b/>
        <sz val="22"/>
        <color theme="1"/>
        <rFont val="Calibri"/>
        <charset val="134"/>
        <scheme val="minor"/>
      </rPr>
      <t>i</t>
    </r>
    <r>
      <rPr>
        <b/>
        <vertAlign val="subscript"/>
        <sz val="22"/>
        <color theme="1"/>
        <rFont val="Calibri"/>
        <charset val="134"/>
        <scheme val="minor"/>
      </rPr>
      <t>pa</t>
    </r>
  </si>
  <si>
    <r>
      <rPr>
        <b/>
        <sz val="22"/>
        <color theme="1"/>
        <rFont val="Calibri"/>
        <charset val="134"/>
        <scheme val="minor"/>
      </rPr>
      <t>i</t>
    </r>
    <r>
      <rPr>
        <b/>
        <vertAlign val="subscript"/>
        <sz val="22"/>
        <color theme="1"/>
        <rFont val="Calibri"/>
        <charset val="134"/>
        <scheme val="minor"/>
      </rPr>
      <t>ibo</t>
    </r>
  </si>
  <si>
    <t>Investimento</t>
  </si>
  <si>
    <t>IR</t>
  </si>
  <si>
    <t>Taxa de Adm</t>
  </si>
  <si>
    <t>Juros</t>
  </si>
  <si>
    <t>Impostos</t>
  </si>
  <si>
    <t>F - Imp</t>
  </si>
  <si>
    <t>A</t>
  </si>
  <si>
    <t>Isento</t>
  </si>
  <si>
    <t>-</t>
  </si>
  <si>
    <t>B</t>
  </si>
  <si>
    <t>C</t>
  </si>
  <si>
    <t>D</t>
  </si>
  <si>
    <t>Valor Investido</t>
  </si>
  <si>
    <t>Período</t>
  </si>
  <si>
    <t>5 anos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</si>
</sst>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  <numFmt numFmtId="181" formatCode="0.000%"/>
    <numFmt numFmtId="182" formatCode="0.0000%"/>
  </numFmts>
  <fonts count="37">
    <font>
      <sz val="11"/>
      <color theme="1"/>
      <name val="Calibri"/>
      <charset val="134"/>
      <scheme val="minor"/>
    </font>
    <font>
      <b/>
      <sz val="18"/>
      <color theme="1"/>
      <name val="Arial"/>
      <charset val="134"/>
    </font>
    <font>
      <b/>
      <sz val="18"/>
      <color rgb="FF000000"/>
      <name val="Arial"/>
      <charset val="134"/>
    </font>
    <font>
      <b/>
      <sz val="18"/>
      <color rgb="FF000000"/>
      <name val="Zurich Cn BT"/>
      <charset val="134"/>
    </font>
    <font>
      <sz val="18"/>
      <color theme="1"/>
      <name val="Arial"/>
      <charset val="134"/>
    </font>
    <font>
      <sz val="11"/>
      <color theme="1"/>
      <name val="Arial"/>
      <charset val="134"/>
    </font>
    <font>
      <sz val="2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2"/>
      <color rgb="FFFF0000"/>
      <name val="Calibri"/>
      <charset val="134"/>
      <scheme val="minor"/>
    </font>
    <font>
      <b/>
      <sz val="18"/>
      <color rgb="FF333333"/>
      <name val="Arial"/>
      <charset val="134"/>
    </font>
    <font>
      <b/>
      <sz val="18"/>
      <color theme="1"/>
      <name val="Calibri"/>
      <charset val="134"/>
      <scheme val="minor"/>
    </font>
    <font>
      <sz val="18"/>
      <color rgb="FF333333"/>
      <name val="Arial"/>
      <charset val="134"/>
    </font>
    <font>
      <sz val="12"/>
      <color theme="1"/>
      <name val="Calibri"/>
      <charset val="134"/>
      <scheme val="minor"/>
    </font>
    <font>
      <sz val="18"/>
      <color rgb="FF000000"/>
      <name val="Arial"/>
      <charset val="134"/>
    </font>
    <font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2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2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23" applyNumberFormat="0" applyAlignment="0" applyProtection="0">
      <alignment vertical="center"/>
    </xf>
    <xf numFmtId="0" fontId="26" fillId="8" borderId="24" applyNumberFormat="0" applyAlignment="0" applyProtection="0">
      <alignment vertical="center"/>
    </xf>
    <xf numFmtId="0" fontId="27" fillId="8" borderId="23" applyNumberFormat="0" applyAlignment="0" applyProtection="0">
      <alignment vertical="center"/>
    </xf>
    <xf numFmtId="0" fontId="28" fillId="9" borderId="25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10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10" fontId="3" fillId="2" borderId="7" xfId="0" applyNumberFormat="1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177" fontId="4" fillId="2" borderId="7" xfId="2" applyFont="1" applyFill="1" applyBorder="1" applyAlignment="1">
      <alignment horizontal="center" vertical="center"/>
    </xf>
    <xf numFmtId="177" fontId="4" fillId="2" borderId="3" xfId="2" applyFont="1" applyFill="1" applyBorder="1" applyAlignment="1">
      <alignment horizontal="center" vertical="center"/>
    </xf>
    <xf numFmtId="177" fontId="4" fillId="2" borderId="8" xfId="2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 readingOrder="1"/>
    </xf>
    <xf numFmtId="10" fontId="3" fillId="2" borderId="10" xfId="0" applyNumberFormat="1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177" fontId="4" fillId="2" borderId="1" xfId="2" applyFont="1" applyFill="1" applyBorder="1" applyAlignment="1">
      <alignment horizontal="center" vertical="center"/>
    </xf>
    <xf numFmtId="177" fontId="4" fillId="2" borderId="5" xfId="2" applyFont="1" applyFill="1" applyBorder="1" applyAlignment="1">
      <alignment horizontal="center" vertical="center"/>
    </xf>
    <xf numFmtId="177" fontId="4" fillId="2" borderId="2" xfId="2" applyFont="1" applyFill="1" applyBorder="1" applyAlignment="1">
      <alignment horizontal="center" vertical="center"/>
    </xf>
    <xf numFmtId="9" fontId="2" fillId="2" borderId="9" xfId="0" applyNumberFormat="1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10" fontId="3" fillId="2" borderId="12" xfId="0" applyNumberFormat="1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9" fontId="2" fillId="2" borderId="11" xfId="0" applyNumberFormat="1" applyFont="1" applyFill="1" applyBorder="1" applyAlignment="1">
      <alignment horizontal="center" vertical="center" wrapText="1" readingOrder="1"/>
    </xf>
    <xf numFmtId="9" fontId="2" fillId="2" borderId="13" xfId="0" applyNumberFormat="1" applyFont="1" applyFill="1" applyBorder="1" applyAlignment="1">
      <alignment horizontal="center" vertical="center" wrapText="1" readingOrder="1"/>
    </xf>
    <xf numFmtId="177" fontId="4" fillId="2" borderId="12" xfId="2" applyFont="1" applyFill="1" applyBorder="1" applyAlignment="1">
      <alignment horizontal="center" vertical="center"/>
    </xf>
    <xf numFmtId="177" fontId="4" fillId="2" borderId="11" xfId="2" applyFont="1" applyFill="1" applyBorder="1" applyAlignment="1">
      <alignment horizontal="center" vertical="center"/>
    </xf>
    <xf numFmtId="177" fontId="4" fillId="2" borderId="13" xfId="2" applyFont="1" applyFill="1" applyBorder="1" applyAlignment="1">
      <alignment horizontal="center" vertical="center"/>
    </xf>
    <xf numFmtId="177" fontId="4" fillId="2" borderId="3" xfId="2" applyFont="1" applyFill="1" applyBorder="1"/>
    <xf numFmtId="177" fontId="4" fillId="2" borderId="0" xfId="2" applyFont="1" applyFill="1" applyBorder="1"/>
    <xf numFmtId="0" fontId="5" fillId="2" borderId="0" xfId="0" applyFont="1" applyFill="1"/>
    <xf numFmtId="0" fontId="4" fillId="2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80" fontId="4" fillId="2" borderId="3" xfId="2" applyNumberFormat="1" applyFont="1" applyFill="1" applyBorder="1" applyAlignment="1">
      <alignment horizontal="center" vertical="center"/>
    </xf>
    <xf numFmtId="177" fontId="4" fillId="2" borderId="4" xfId="2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 readingOrder="1"/>
    </xf>
    <xf numFmtId="177" fontId="4" fillId="2" borderId="6" xfId="2" applyFont="1" applyFill="1" applyBorder="1" applyAlignment="1">
      <alignment horizontal="center" vertical="center"/>
    </xf>
    <xf numFmtId="9" fontId="2" fillId="2" borderId="15" xfId="0" applyNumberFormat="1" applyFont="1" applyFill="1" applyBorder="1" applyAlignment="1">
      <alignment horizontal="center" vertical="center" wrapText="1" readingOrder="1"/>
    </xf>
    <xf numFmtId="180" fontId="4" fillId="2" borderId="5" xfId="2" applyNumberFormat="1" applyFont="1" applyFill="1" applyBorder="1" applyAlignment="1">
      <alignment horizontal="center" vertical="center"/>
    </xf>
    <xf numFmtId="9" fontId="0" fillId="2" borderId="0" xfId="0" applyNumberFormat="1" applyFill="1"/>
    <xf numFmtId="10" fontId="0" fillId="2" borderId="0" xfId="0" applyNumberFormat="1" applyFill="1"/>
    <xf numFmtId="0" fontId="1" fillId="3" borderId="4" xfId="0" applyFont="1" applyFill="1" applyBorder="1" applyAlignment="1">
      <alignment horizontal="center"/>
    </xf>
    <xf numFmtId="177" fontId="4" fillId="4" borderId="5" xfId="2" applyFont="1" applyFill="1" applyBorder="1" applyAlignment="1">
      <alignment horizontal="center" vertical="center"/>
    </xf>
    <xf numFmtId="180" fontId="4" fillId="4" borderId="5" xfId="2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 applyAlignment="1">
      <alignment horizontal="right"/>
    </xf>
    <xf numFmtId="10" fontId="7" fillId="2" borderId="0" xfId="0" applyNumberFormat="1" applyFont="1" applyFill="1"/>
    <xf numFmtId="0" fontId="7" fillId="2" borderId="0" xfId="0" applyFont="1" applyFill="1"/>
    <xf numFmtId="181" fontId="7" fillId="2" borderId="0" xfId="3" applyNumberFormat="1" applyFont="1" applyFill="1"/>
    <xf numFmtId="181" fontId="8" fillId="2" borderId="0" xfId="3" applyNumberFormat="1" applyFont="1" applyFill="1"/>
    <xf numFmtId="181" fontId="7" fillId="2" borderId="0" xfId="0" applyNumberFormat="1" applyFont="1" applyFill="1"/>
    <xf numFmtId="182" fontId="7" fillId="2" borderId="0" xfId="3" applyNumberFormat="1" applyFont="1" applyFill="1"/>
    <xf numFmtId="10" fontId="7" fillId="2" borderId="0" xfId="3" applyNumberFormat="1" applyFont="1" applyFill="1"/>
    <xf numFmtId="0" fontId="2" fillId="2" borderId="16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17" fontId="9" fillId="5" borderId="0" xfId="0" applyNumberFormat="1" applyFont="1" applyFill="1" applyBorder="1" applyAlignment="1">
      <alignment horizontal="center" vertical="top" wrapText="1"/>
    </xf>
    <xf numFmtId="10" fontId="9" fillId="5" borderId="0" xfId="0" applyNumberFormat="1" applyFont="1" applyFill="1" applyBorder="1" applyAlignment="1">
      <alignment horizontal="center" vertical="top" wrapText="1"/>
    </xf>
    <xf numFmtId="10" fontId="4" fillId="2" borderId="0" xfId="0" applyNumberFormat="1" applyFont="1" applyFill="1" applyAlignment="1">
      <alignment horizontal="center"/>
    </xf>
    <xf numFmtId="17" fontId="9" fillId="5" borderId="17" xfId="0" applyNumberFormat="1" applyFont="1" applyFill="1" applyBorder="1" applyAlignment="1">
      <alignment horizontal="center" vertical="top" wrapText="1"/>
    </xf>
    <xf numFmtId="10" fontId="9" fillId="5" borderId="17" xfId="0" applyNumberFormat="1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/>
    </xf>
    <xf numFmtId="10" fontId="4" fillId="2" borderId="17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right"/>
    </xf>
    <xf numFmtId="181" fontId="1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17" fontId="11" fillId="5" borderId="0" xfId="0" applyNumberFormat="1" applyFont="1" applyFill="1" applyBorder="1" applyAlignment="1">
      <alignment horizontal="center" vertical="top" wrapText="1"/>
    </xf>
    <xf numFmtId="10" fontId="11" fillId="5" borderId="0" xfId="0" applyNumberFormat="1" applyFont="1" applyFill="1" applyBorder="1" applyAlignment="1">
      <alignment horizontal="center" vertical="top" wrapText="1"/>
    </xf>
    <xf numFmtId="17" fontId="11" fillId="5" borderId="13" xfId="0" applyNumberFormat="1" applyFont="1" applyFill="1" applyBorder="1" applyAlignment="1">
      <alignment horizontal="center" vertical="top" wrapText="1"/>
    </xf>
    <xf numFmtId="10" fontId="11" fillId="5" borderId="13" xfId="0" applyNumberFormat="1" applyFont="1" applyFill="1" applyBorder="1" applyAlignment="1">
      <alignment horizontal="center" vertical="top" wrapText="1"/>
    </xf>
    <xf numFmtId="17" fontId="2" fillId="2" borderId="18" xfId="0" applyNumberFormat="1" applyFont="1" applyFill="1" applyBorder="1" applyAlignment="1">
      <alignment horizontal="center" vertical="center" wrapText="1" readingOrder="1"/>
    </xf>
    <xf numFmtId="182" fontId="2" fillId="2" borderId="18" xfId="0" applyNumberFormat="1" applyFont="1" applyFill="1" applyBorder="1" applyAlignment="1">
      <alignment horizontal="center" vertical="center" wrapText="1" readingOrder="1"/>
    </xf>
    <xf numFmtId="182" fontId="4" fillId="2" borderId="0" xfId="0" applyNumberFormat="1" applyFont="1" applyFill="1" applyAlignment="1">
      <alignment horizontal="center"/>
    </xf>
    <xf numFmtId="17" fontId="2" fillId="2" borderId="0" xfId="0" applyNumberFormat="1" applyFont="1" applyFill="1" applyAlignment="1">
      <alignment horizontal="center" vertical="center" wrapText="1" readingOrder="1"/>
    </xf>
    <xf numFmtId="182" fontId="2" fillId="2" borderId="0" xfId="0" applyNumberFormat="1" applyFont="1" applyFill="1" applyAlignment="1">
      <alignment horizontal="center" vertical="center" wrapText="1" readingOrder="1"/>
    </xf>
    <xf numFmtId="17" fontId="2" fillId="2" borderId="17" xfId="0" applyNumberFormat="1" applyFont="1" applyFill="1" applyBorder="1" applyAlignment="1">
      <alignment horizontal="center" vertical="center" wrapText="1" readingOrder="1"/>
    </xf>
    <xf numFmtId="182" fontId="2" fillId="2" borderId="17" xfId="0" applyNumberFormat="1" applyFont="1" applyFill="1" applyBorder="1" applyAlignment="1">
      <alignment horizontal="center" vertical="center" wrapText="1" readingOrder="1"/>
    </xf>
    <xf numFmtId="182" fontId="4" fillId="2" borderId="17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177" fontId="1" fillId="2" borderId="0" xfId="2" applyFont="1" applyFill="1"/>
    <xf numFmtId="0" fontId="12" fillId="2" borderId="0" xfId="0" applyFont="1" applyFill="1"/>
    <xf numFmtId="17" fontId="13" fillId="2" borderId="18" xfId="0" applyNumberFormat="1" applyFont="1" applyFill="1" applyBorder="1" applyAlignment="1">
      <alignment horizontal="center" vertical="center" wrapText="1" readingOrder="1"/>
    </xf>
    <xf numFmtId="182" fontId="13" fillId="2" borderId="18" xfId="0" applyNumberFormat="1" applyFont="1" applyFill="1" applyBorder="1" applyAlignment="1">
      <alignment horizontal="center" vertical="center" wrapText="1" readingOrder="1"/>
    </xf>
    <xf numFmtId="17" fontId="13" fillId="2" borderId="0" xfId="0" applyNumberFormat="1" applyFont="1" applyFill="1" applyAlignment="1">
      <alignment horizontal="center" vertical="center" wrapText="1" readingOrder="1"/>
    </xf>
    <xf numFmtId="182" fontId="13" fillId="2" borderId="0" xfId="0" applyNumberFormat="1" applyFont="1" applyFill="1" applyAlignment="1">
      <alignment horizontal="center" vertical="center" wrapText="1" readingOrder="1"/>
    </xf>
    <xf numFmtId="17" fontId="13" fillId="2" borderId="13" xfId="0" applyNumberFormat="1" applyFont="1" applyFill="1" applyBorder="1" applyAlignment="1">
      <alignment horizontal="center" vertical="center" wrapText="1" readingOrder="1"/>
    </xf>
    <xf numFmtId="182" fontId="13" fillId="2" borderId="13" xfId="0" applyNumberFormat="1" applyFont="1" applyFill="1" applyBorder="1" applyAlignment="1">
      <alignment horizontal="center" vertical="center" wrapText="1" readingOrder="1"/>
    </xf>
    <xf numFmtId="0" fontId="10" fillId="2" borderId="0" xfId="0" applyFont="1" applyFill="1"/>
    <xf numFmtId="177" fontId="7" fillId="2" borderId="0" xfId="2" applyFont="1" applyFill="1"/>
    <xf numFmtId="9" fontId="7" fillId="2" borderId="0" xfId="3" applyFont="1" applyFill="1"/>
    <xf numFmtId="2" fontId="7" fillId="2" borderId="0" xfId="0" applyNumberFormat="1" applyFont="1" applyFill="1"/>
    <xf numFmtId="0" fontId="14" fillId="2" borderId="0" xfId="0" applyFont="1" applyFill="1"/>
    <xf numFmtId="9" fontId="14" fillId="2" borderId="0" xfId="0" applyNumberFormat="1" applyFont="1" applyFill="1"/>
    <xf numFmtId="0" fontId="15" fillId="2" borderId="19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/>
    </xf>
    <xf numFmtId="177" fontId="15" fillId="2" borderId="19" xfId="2" applyFont="1" applyFill="1" applyBorder="1" applyAlignment="1">
      <alignment horizontal="center"/>
    </xf>
    <xf numFmtId="177" fontId="0" fillId="2" borderId="0" xfId="0" applyNumberForma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 3'!$D$13</c:f>
              <c:strCache>
                <c:ptCount val="1"/>
                <c:pt idx="0">
                  <c:v>Juros Simples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val>
            <c:numRef>
              <c:f>'Ex 3'!$D$14:$D$62</c:f>
              <c:numCache>
                <c:formatCode>_-"R$"\ * #,##0.00_-;\-"R$"\ * #,##0.00_-;_-"R$"\ * "-"??_-;_-@_-</c:formatCode>
                <c:ptCount val="49"/>
                <c:pt idx="0">
                  <c:v>500</c:v>
                </c:pt>
                <c:pt idx="1">
                  <c:v>520</c:v>
                </c:pt>
                <c:pt idx="2">
                  <c:v>540</c:v>
                </c:pt>
                <c:pt idx="3">
                  <c:v>560</c:v>
                </c:pt>
                <c:pt idx="4">
                  <c:v>580</c:v>
                </c:pt>
                <c:pt idx="5">
                  <c:v>600</c:v>
                </c:pt>
                <c:pt idx="6">
                  <c:v>620</c:v>
                </c:pt>
                <c:pt idx="7">
                  <c:v>640</c:v>
                </c:pt>
                <c:pt idx="8">
                  <c:v>660</c:v>
                </c:pt>
                <c:pt idx="9">
                  <c:v>680</c:v>
                </c:pt>
                <c:pt idx="10">
                  <c:v>700</c:v>
                </c:pt>
                <c:pt idx="11">
                  <c:v>720</c:v>
                </c:pt>
                <c:pt idx="12">
                  <c:v>740</c:v>
                </c:pt>
                <c:pt idx="13">
                  <c:v>760</c:v>
                </c:pt>
                <c:pt idx="14">
                  <c:v>780</c:v>
                </c:pt>
                <c:pt idx="15">
                  <c:v>800</c:v>
                </c:pt>
                <c:pt idx="16">
                  <c:v>820</c:v>
                </c:pt>
                <c:pt idx="17">
                  <c:v>840</c:v>
                </c:pt>
                <c:pt idx="18">
                  <c:v>860</c:v>
                </c:pt>
                <c:pt idx="19">
                  <c:v>880</c:v>
                </c:pt>
                <c:pt idx="20">
                  <c:v>900</c:v>
                </c:pt>
                <c:pt idx="21">
                  <c:v>920</c:v>
                </c:pt>
                <c:pt idx="22">
                  <c:v>940</c:v>
                </c:pt>
                <c:pt idx="23">
                  <c:v>960</c:v>
                </c:pt>
                <c:pt idx="24">
                  <c:v>980</c:v>
                </c:pt>
                <c:pt idx="25">
                  <c:v>1000</c:v>
                </c:pt>
                <c:pt idx="26">
                  <c:v>1020</c:v>
                </c:pt>
                <c:pt idx="27">
                  <c:v>1040</c:v>
                </c:pt>
                <c:pt idx="28">
                  <c:v>1060</c:v>
                </c:pt>
                <c:pt idx="29">
                  <c:v>1080</c:v>
                </c:pt>
                <c:pt idx="30">
                  <c:v>1100</c:v>
                </c:pt>
                <c:pt idx="31">
                  <c:v>1120</c:v>
                </c:pt>
                <c:pt idx="32">
                  <c:v>1140</c:v>
                </c:pt>
                <c:pt idx="33">
                  <c:v>1160</c:v>
                </c:pt>
                <c:pt idx="34">
                  <c:v>1180</c:v>
                </c:pt>
                <c:pt idx="35">
                  <c:v>1200</c:v>
                </c:pt>
                <c:pt idx="36">
                  <c:v>1220</c:v>
                </c:pt>
                <c:pt idx="37">
                  <c:v>1240</c:v>
                </c:pt>
                <c:pt idx="38">
                  <c:v>1260</c:v>
                </c:pt>
                <c:pt idx="39">
                  <c:v>1280</c:v>
                </c:pt>
                <c:pt idx="40">
                  <c:v>1300</c:v>
                </c:pt>
                <c:pt idx="41">
                  <c:v>1320</c:v>
                </c:pt>
                <c:pt idx="42">
                  <c:v>1340</c:v>
                </c:pt>
                <c:pt idx="43">
                  <c:v>1360</c:v>
                </c:pt>
                <c:pt idx="44">
                  <c:v>1380</c:v>
                </c:pt>
                <c:pt idx="45">
                  <c:v>1400</c:v>
                </c:pt>
                <c:pt idx="46">
                  <c:v>1420</c:v>
                </c:pt>
                <c:pt idx="47">
                  <c:v>1440</c:v>
                </c:pt>
                <c:pt idx="48">
                  <c:v>1460</c:v>
                </c:pt>
              </c:numCache>
            </c:numRef>
          </c:val>
        </c:ser>
        <c:ser>
          <c:idx val="1"/>
          <c:order val="1"/>
          <c:tx>
            <c:strRef>
              <c:f>'Ex 3'!$E$13</c:f>
              <c:strCache>
                <c:ptCount val="1"/>
                <c:pt idx="0">
                  <c:v>Juros Compostos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val>
            <c:numRef>
              <c:f>'Ex 3'!$E$14:$E$62</c:f>
              <c:numCache>
                <c:formatCode>_-"R$"\ * #,##0.00_-;\-"R$"\ * #,##0.00_-;_-"R$"\ * "-"??_-;_-@_-</c:formatCode>
                <c:ptCount val="49"/>
                <c:pt idx="0">
                  <c:v>500</c:v>
                </c:pt>
                <c:pt idx="1">
                  <c:v>520</c:v>
                </c:pt>
                <c:pt idx="2">
                  <c:v>540.8</c:v>
                </c:pt>
                <c:pt idx="3">
                  <c:v>562.432</c:v>
                </c:pt>
                <c:pt idx="4">
                  <c:v>584.92928</c:v>
                </c:pt>
                <c:pt idx="5">
                  <c:v>608.3264512</c:v>
                </c:pt>
                <c:pt idx="6">
                  <c:v>632.659509248</c:v>
                </c:pt>
                <c:pt idx="7">
                  <c:v>657.96588961792</c:v>
                </c:pt>
                <c:pt idx="8">
                  <c:v>684.284525202637</c:v>
                </c:pt>
                <c:pt idx="9">
                  <c:v>711.655906210743</c:v>
                </c:pt>
                <c:pt idx="10">
                  <c:v>740.122142459172</c:v>
                </c:pt>
                <c:pt idx="11">
                  <c:v>769.727028157539</c:v>
                </c:pt>
                <c:pt idx="12">
                  <c:v>800.516109283841</c:v>
                </c:pt>
                <c:pt idx="13">
                  <c:v>832.536753655195</c:v>
                </c:pt>
                <c:pt idx="14">
                  <c:v>865.838223801402</c:v>
                </c:pt>
                <c:pt idx="15">
                  <c:v>900.471752753458</c:v>
                </c:pt>
                <c:pt idx="16">
                  <c:v>936.490622863597</c:v>
                </c:pt>
                <c:pt idx="17">
                  <c:v>973.950247778141</c:v>
                </c:pt>
                <c:pt idx="18">
                  <c:v>1012.90825768927</c:v>
                </c:pt>
                <c:pt idx="19">
                  <c:v>1053.42458799684</c:v>
                </c:pt>
                <c:pt idx="20">
                  <c:v>1095.56157151671</c:v>
                </c:pt>
                <c:pt idx="21">
                  <c:v>1139.38403437738</c:v>
                </c:pt>
                <c:pt idx="22">
                  <c:v>1184.95939575247</c:v>
                </c:pt>
                <c:pt idx="23">
                  <c:v>1232.35777158257</c:v>
                </c:pt>
                <c:pt idx="24">
                  <c:v>1281.65208244588</c:v>
                </c:pt>
                <c:pt idx="25">
                  <c:v>1332.91816574371</c:v>
                </c:pt>
                <c:pt idx="26">
                  <c:v>1386.23489237346</c:v>
                </c:pt>
                <c:pt idx="27">
                  <c:v>1441.6842880684</c:v>
                </c:pt>
                <c:pt idx="28">
                  <c:v>1499.35165959113</c:v>
                </c:pt>
                <c:pt idx="29">
                  <c:v>1559.32572597478</c:v>
                </c:pt>
                <c:pt idx="30">
                  <c:v>1621.69875501377</c:v>
                </c:pt>
                <c:pt idx="31">
                  <c:v>1686.56670521432</c:v>
                </c:pt>
                <c:pt idx="32">
                  <c:v>1754.0293734229</c:v>
                </c:pt>
                <c:pt idx="33">
                  <c:v>1824.19054835981</c:v>
                </c:pt>
                <c:pt idx="34">
                  <c:v>1897.1581702942</c:v>
                </c:pt>
                <c:pt idx="35">
                  <c:v>1973.04449710597</c:v>
                </c:pt>
                <c:pt idx="36">
                  <c:v>2051.96627699021</c:v>
                </c:pt>
                <c:pt idx="37">
                  <c:v>2134.04492806982</c:v>
                </c:pt>
                <c:pt idx="38">
                  <c:v>2219.40672519261</c:v>
                </c:pt>
                <c:pt idx="39">
                  <c:v>2308.18299420032</c:v>
                </c:pt>
                <c:pt idx="40">
                  <c:v>2400.51031396833</c:v>
                </c:pt>
                <c:pt idx="41">
                  <c:v>2496.53072652706</c:v>
                </c:pt>
                <c:pt idx="42">
                  <c:v>2596.39195558815</c:v>
                </c:pt>
                <c:pt idx="43">
                  <c:v>2700.24763381167</c:v>
                </c:pt>
                <c:pt idx="44">
                  <c:v>2808.25753916414</c:v>
                </c:pt>
                <c:pt idx="45">
                  <c:v>2920.5878407307</c:v>
                </c:pt>
                <c:pt idx="46">
                  <c:v>3037.41135435993</c:v>
                </c:pt>
                <c:pt idx="47">
                  <c:v>3158.90780853433</c:v>
                </c:pt>
                <c:pt idx="48">
                  <c:v>3285.2641208757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660960"/>
        <c:axId val="1022658784"/>
      </c:barChart>
      <c:catAx>
        <c:axId val="102266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22658784"/>
        <c:crosses val="autoZero"/>
        <c:auto val="1"/>
        <c:lblAlgn val="ctr"/>
        <c:lblOffset val="100"/>
        <c:noMultiLvlLbl val="0"/>
      </c:catAx>
      <c:valAx>
        <c:axId val="10226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2266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2c0937-cb2a-4093-9704-ea645da210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120650</xdr:colOff>
      <xdr:row>0</xdr:row>
      <xdr:rowOff>88900</xdr:rowOff>
    </xdr:from>
    <xdr:to>
      <xdr:col>14</xdr:col>
      <xdr:colOff>96346</xdr:colOff>
      <xdr:row>6</xdr:row>
      <xdr:rowOff>85725</xdr:rowOff>
    </xdr:to>
    <xdr:sp>
      <xdr:nvSpPr>
        <xdr:cNvPr id="2" name="Rectangle 3" descr="ee162bf4-0f80-49cc-9438-889beb99dfb3"/>
        <xdr:cNvSpPr>
          <a:spLocks noGrp="1" noChangeArrowheads="1"/>
        </xdr:cNvSpPr>
      </xdr:nvSpPr>
      <xdr:spPr>
        <a:xfrm>
          <a:off x="120650" y="88900"/>
          <a:ext cx="10605135" cy="1139825"/>
        </a:xfrm>
        <a:prstGeom prst="rect">
          <a:avLst/>
        </a:prstGeom>
        <a:noFill/>
        <a:ln w="9525">
          <a:noFill/>
          <a:miter lim="800000"/>
        </a:ln>
      </xdr:spPr>
      <xdr:txBody>
        <a:bodyPr vert="horz" wrap="square" lIns="91440" tIns="45720" rIns="91440" bIns="45720" numCol="1" anchor="t" anchorCtr="0" compatLnSpc="1"/>
        <a:lstStyle>
          <a:lvl1pPr marL="536575" indent="-536575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0091D2"/>
            </a:buClr>
            <a:buSzPct val="100000"/>
            <a:buFontTx/>
            <a:buBlip>
              <a:blip/>
            </a:buBlip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FF0000"/>
            </a:buClr>
            <a:buSzPct val="100000"/>
            <a:buFont typeface="Calibri" panose="020F0502020204030204" pitchFamily="34" charset="0"/>
            <a:buChar char="→"/>
            <a:defRPr lang="pt-BR" sz="2400">
              <a:solidFill>
                <a:schemeClr val="tx1"/>
              </a:solidFill>
              <a:latin typeface="+mj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SzPct val="100000"/>
            <a:buFont typeface="Wingdings" panose="05000000000000000000" pitchFamily="2" charset="2"/>
            <a:buChar char="ü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C00000"/>
            </a:buClr>
            <a:buFont typeface="Arial" panose="020B0604020202020204" pitchFamily="7" charset="0"/>
            <a:buChar char="–"/>
            <a:defRPr lang="pt-BR" sz="2000">
              <a:solidFill>
                <a:schemeClr val="tx1"/>
              </a:solidFill>
              <a:latin typeface="+mj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ts val="600"/>
            </a:spcBef>
            <a:spcAft>
              <a:spcPct val="0"/>
            </a:spcAft>
            <a:buClr>
              <a:srgbClr val="3333CC"/>
            </a:buClr>
            <a:buFont typeface="Arial" panose="020B0604020202020204" pitchFamily="7" charset="0"/>
            <a:buChar char="»"/>
            <a:defRPr lang="pt-BR" sz="1800">
              <a:solidFill>
                <a:schemeClr val="tx1"/>
              </a:solidFill>
              <a:latin typeface="+mj-lt"/>
              <a:ea typeface="+mn-ea"/>
              <a:cs typeface="+mn-cs"/>
            </a:defRPr>
          </a:lvl5pPr>
          <a:lvl6pPr marL="25146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6pPr>
          <a:lvl7pPr marL="29718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7pPr>
          <a:lvl8pPr marL="34290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8pPr>
          <a:lvl9pPr marL="3886200" indent="-228600" algn="l" rtl="0" fontAlgn="base">
            <a:spcBef>
              <a:spcPct val="20000"/>
            </a:spcBef>
            <a:spcAft>
              <a:spcPct val="0"/>
            </a:spcAft>
            <a:buClr>
              <a:srgbClr val="0091D2"/>
            </a:buClr>
            <a:buFont typeface="Arial" panose="020B0604020202020204" pitchFamily="7" charset="0"/>
            <a:buChar char="»"/>
            <a:defRPr sz="2000">
              <a:solidFill>
                <a:schemeClr val="tx1"/>
              </a:solidFill>
              <a:latin typeface="+mn-lt"/>
            </a:defRPr>
          </a:lvl9pPr>
        </a:lstStyle>
        <a:p>
          <a:pPr rtl="0" eaLnBrk="1" fontAlgn="auto" latinLnBrk="0" hangingPunct="1"/>
          <a:r>
            <a:rPr lang="pt-BR" sz="240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Compare graficamente o comportamento das duas contas por um período de 4 anos.</a:t>
          </a:r>
          <a:endParaRPr lang="pt-BR" sz="2400">
            <a:effectLst/>
          </a:endParaRPr>
        </a:p>
      </xdr:txBody>
    </xdr:sp>
    <xdr:clientData/>
  </xdr:twoCellAnchor>
  <xdr:twoCellAnchor>
    <xdr:from>
      <xdr:col>7</xdr:col>
      <xdr:colOff>432954</xdr:colOff>
      <xdr:row>12</xdr:row>
      <xdr:rowOff>243319</xdr:rowOff>
    </xdr:from>
    <xdr:to>
      <xdr:col>21</xdr:col>
      <xdr:colOff>242454</xdr:colOff>
      <xdr:row>33</xdr:row>
      <xdr:rowOff>112569</xdr:rowOff>
    </xdr:to>
    <xdr:graphicFrame>
      <xdr:nvGraphicFramePr>
        <xdr:cNvPr id="3" name="Gráfico 2"/>
        <xdr:cNvGraphicFramePr/>
      </xdr:nvGraphicFramePr>
      <xdr:xfrm>
        <a:off x="6795135" y="2957830"/>
        <a:ext cx="8343900" cy="566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3</xdr:row>
      <xdr:rowOff>99060</xdr:rowOff>
    </xdr:from>
    <xdr:to>
      <xdr:col>10</xdr:col>
      <xdr:colOff>247650</xdr:colOff>
      <xdr:row>6</xdr:row>
      <xdr:rowOff>55687</xdr:rowOff>
    </xdr:to>
    <xdr:sp>
      <xdr:nvSpPr>
        <xdr:cNvPr id="4" name="Text Box 6"/>
        <xdr:cNvSpPr txBox="1">
          <a:spLocks noChangeArrowheads="1"/>
        </xdr:cNvSpPr>
      </xdr:nvSpPr>
      <xdr:spPr>
        <a:xfrm>
          <a:off x="4920615" y="670560"/>
          <a:ext cx="3518535" cy="527685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=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P 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1 +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x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endParaRPr lang="pt-BR" sz="2800" b="1" i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30480</xdr:colOff>
      <xdr:row>7</xdr:row>
      <xdr:rowOff>68580</xdr:rowOff>
    </xdr:from>
    <xdr:to>
      <xdr:col>10</xdr:col>
      <xdr:colOff>262890</xdr:colOff>
      <xdr:row>8</xdr:row>
      <xdr:rowOff>246187</xdr:rowOff>
    </xdr:to>
    <xdr:sp>
      <xdr:nvSpPr>
        <xdr:cNvPr id="5" name="Text Box 6"/>
        <xdr:cNvSpPr txBox="1">
          <a:spLocks noChangeArrowheads="1"/>
        </xdr:cNvSpPr>
      </xdr:nvSpPr>
      <xdr:spPr>
        <a:xfrm>
          <a:off x="4935855" y="1402080"/>
          <a:ext cx="3518535" cy="510540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 = P (1+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)</a:t>
          </a:r>
          <a:r>
            <a:rPr lang="pt-BR" sz="2800" b="1" baseline="30000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</a:t>
          </a:r>
          <a:endParaRPr lang="pt-BR" sz="2800" b="1" baseline="30000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85725</xdr:colOff>
      <xdr:row>0</xdr:row>
      <xdr:rowOff>47625</xdr:rowOff>
    </xdr:from>
    <xdr:to>
      <xdr:col>12</xdr:col>
      <xdr:colOff>190500</xdr:colOff>
      <xdr:row>24</xdr:row>
      <xdr:rowOff>105866</xdr:rowOff>
    </xdr:to>
    <xdr:sp>
      <xdr:nvSpPr>
        <xdr:cNvPr id="2" name="Espaço Reservado para Conteúdo 10" descr="bf294f03-fa9f-4d95-ad49-7bb8475e7073"/>
        <xdr:cNvSpPr>
          <a:spLocks noGrp="1"/>
        </xdr:cNvSpPr>
      </xdr:nvSpPr>
      <xdr:spPr>
        <a:xfrm>
          <a:off x="85725" y="47625"/>
          <a:ext cx="7696200" cy="8744585"/>
        </a:xfrm>
        <a:prstGeom prst="rect">
          <a:avLst/>
        </a:prstGeom>
      </xdr:spPr>
      <xdr:txBody>
        <a:bodyPr vert="horz" wrap="square" lIns="91440" tIns="45720" rIns="91440" bIns="45720" rtlCol="0">
          <a:noAutofit/>
        </a:bodyPr>
        <a:lstStyle>
          <a:lvl1pPr marL="1289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Wingdings" panose="05000000000000000000" pitchFamily="2" charset="2"/>
            <a:buChar char="§"/>
            <a:defRPr sz="30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1pPr>
          <a:lvl2pPr marL="38608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05000"/>
            <a:buFont typeface="Wingdings" panose="05000000000000000000" pitchFamily="2" charset="2"/>
            <a:buChar char="Ø"/>
            <a:defRPr sz="28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2pPr>
          <a:lvl3pPr marL="64325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2E3338"/>
            </a:buClr>
            <a:buSzPct val="110000"/>
            <a:buFont typeface="Wingdings" panose="05000000000000000000" pitchFamily="2" charset="2"/>
            <a:buChar char="ü"/>
            <a:defRPr sz="24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3pPr>
          <a:lvl4pPr marL="90043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4pPr>
          <a:lvl5pPr marL="11576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5pPr>
          <a:lvl6pPr marL="141478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167195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192913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18630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30000"/>
            </a:lnSpc>
          </a:pPr>
          <a:r>
            <a:rPr lang="pt-BR" sz="2400" b="1"/>
            <a:t>Exemplo 4:</a:t>
          </a:r>
          <a:endParaRPr lang="pt-BR" sz="2400" b="1"/>
        </a:p>
        <a:p>
          <a:pPr lvl="1">
            <a:lnSpc>
              <a:spcPct val="130000"/>
            </a:lnSpc>
            <a:spcAft>
              <a:spcPts val="1200"/>
            </a:spcAft>
          </a:pPr>
          <a:r>
            <a:rPr lang="pt-BR" sz="2400" b="1"/>
            <a:t>Em que prazo um empréstimo de $55.000,00 pode ser quitado por um único pagamento de $110.624,80, se  a taxa de juros compostos cobrada for de 15% ao mês?</a:t>
          </a:r>
          <a:endParaRPr lang="pt-BR" sz="2400" b="1"/>
        </a:p>
        <a:p>
          <a:pPr>
            <a:lnSpc>
              <a:spcPct val="130000"/>
            </a:lnSpc>
          </a:pPr>
          <a:endParaRPr lang="pt-BR" sz="2400" b="1"/>
        </a:p>
        <a:p>
          <a:pPr>
            <a:lnSpc>
              <a:spcPct val="130000"/>
            </a:lnSpc>
          </a:pPr>
          <a:endParaRPr lang="pt-BR" sz="2400" b="1"/>
        </a:p>
        <a:p>
          <a:pPr>
            <a:lnSpc>
              <a:spcPct val="130000"/>
            </a:lnSpc>
          </a:pPr>
          <a:r>
            <a:rPr lang="pt-BR" sz="2400" b="1"/>
            <a:t>Exemplo 5:</a:t>
          </a:r>
          <a:endParaRPr lang="pt-BR" sz="2400" b="1"/>
        </a:p>
        <a:p>
          <a:pPr lvl="1">
            <a:lnSpc>
              <a:spcPct val="130000"/>
            </a:lnSpc>
            <a:spcAft>
              <a:spcPts val="1200"/>
            </a:spcAft>
          </a:pPr>
          <a:r>
            <a:rPr lang="pt-BR" sz="2400" b="1"/>
            <a:t>A que taxa de juros um capital de $13.200,00 pode transformar-se em $35.112,26, considerando um período de aplicação de 7 anos? </a:t>
          </a:r>
          <a:endParaRPr lang="pt-BR" sz="2400" b="1"/>
        </a:p>
        <a:p>
          <a:pPr>
            <a:lnSpc>
              <a:spcPct val="130000"/>
            </a:lnSpc>
          </a:pPr>
          <a:endParaRPr lang="pt-BR" sz="2400" b="1"/>
        </a:p>
        <a:p>
          <a:pPr>
            <a:lnSpc>
              <a:spcPct val="130000"/>
            </a:lnSpc>
          </a:pPr>
          <a:endParaRPr lang="pt-BR" sz="2400" b="1"/>
        </a:p>
        <a:p>
          <a:pPr>
            <a:lnSpc>
              <a:spcPct val="130000"/>
            </a:lnSpc>
          </a:pPr>
          <a:r>
            <a:rPr lang="pt-BR" sz="2400" b="1"/>
            <a:t>Exemplo 6:</a:t>
          </a:r>
          <a:endParaRPr lang="pt-BR" sz="2400" b="1"/>
        </a:p>
        <a:p>
          <a:pPr lvl="1">
            <a:lnSpc>
              <a:spcPct val="130000"/>
            </a:lnSpc>
          </a:pPr>
          <a:r>
            <a:rPr lang="pt-BR" sz="2400" b="1"/>
            <a:t>Uma operadora de celular adianta R$ 3,00 em créditos para seus clientes para ligações de emergência e cobra na data da fatura, 10 dias depois, R$ 0,70 de juros. Qual a taxa de juros praticada pela operadora? </a:t>
          </a:r>
          <a:endParaRPr lang="pt-BR" sz="2400" b="1"/>
        </a:p>
        <a:p>
          <a:pPr lvl="1">
            <a:lnSpc>
              <a:spcPct val="130000"/>
            </a:lnSpc>
          </a:pPr>
          <a:endParaRPr lang="pt-BR" sz="2400" b="1"/>
        </a:p>
        <a:p>
          <a:pPr lvl="1">
            <a:lnSpc>
              <a:spcPct val="130000"/>
            </a:lnSpc>
          </a:pPr>
          <a:endParaRPr lang="pt-BR" sz="2400" b="1"/>
        </a:p>
        <a:p>
          <a:endParaRPr lang="pt-BR" sz="2400" b="1"/>
        </a:p>
      </xdr:txBody>
    </xdr:sp>
    <xdr:clientData/>
  </xdr:twoCellAnchor>
  <xdr:twoCellAnchor>
    <xdr:from>
      <xdr:col>17</xdr:col>
      <xdr:colOff>295275</xdr:colOff>
      <xdr:row>0</xdr:row>
      <xdr:rowOff>238125</xdr:rowOff>
    </xdr:from>
    <xdr:to>
      <xdr:col>22</xdr:col>
      <xdr:colOff>200025</xdr:colOff>
      <xdr:row>4</xdr:row>
      <xdr:rowOff>298238</xdr:rowOff>
    </xdr:to>
    <xdr:sp>
      <xdr:nvSpPr>
        <xdr:cNvPr id="4" name="Text Box 7"/>
        <xdr:cNvSpPr txBox="1">
          <a:spLocks noChangeArrowheads="1"/>
        </xdr:cNvSpPr>
      </xdr:nvSpPr>
      <xdr:spPr>
        <a:xfrm>
          <a:off x="12058650" y="238125"/>
          <a:ext cx="2952750" cy="1507490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=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P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(1+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baseline="30000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endParaRPr lang="pt-BR" b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(1+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kern="0" baseline="30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= F/P</a:t>
          </a:r>
          <a:endParaRPr lang="pt-BR" b="1" i="1" kern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= log</a:t>
          </a:r>
          <a:r>
            <a:rPr lang="pt-BR" b="1" i="1" kern="0" baseline="-28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(1+i)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(F/P)</a:t>
          </a:r>
          <a:endParaRPr lang="pt-BR" b="1" i="1" kern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  <xdr:twoCellAnchor>
    <xdr:from>
      <xdr:col>17</xdr:col>
      <xdr:colOff>371475</xdr:colOff>
      <xdr:row>8</xdr:row>
      <xdr:rowOff>266700</xdr:rowOff>
    </xdr:from>
    <xdr:to>
      <xdr:col>22</xdr:col>
      <xdr:colOff>276225</xdr:colOff>
      <xdr:row>12</xdr:row>
      <xdr:rowOff>326813</xdr:rowOff>
    </xdr:to>
    <xdr:sp>
      <xdr:nvSpPr>
        <xdr:cNvPr id="5" name="Text Box 7"/>
        <xdr:cNvSpPr txBox="1">
          <a:spLocks noChangeArrowheads="1"/>
        </xdr:cNvSpPr>
      </xdr:nvSpPr>
      <xdr:spPr>
        <a:xfrm>
          <a:off x="12134850" y="3162300"/>
          <a:ext cx="2952750" cy="1507490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=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P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(1+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baseline="30000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endParaRPr lang="pt-BR" b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(1+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kern="0" baseline="30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= F/P</a:t>
          </a:r>
          <a:endParaRPr lang="pt-BR" b="1" i="1" kern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 = (F/P)</a:t>
          </a:r>
          <a:r>
            <a:rPr lang="pt-BR" b="1" i="1" kern="0" baseline="30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(1/n) </a:t>
          </a:r>
          <a:r>
            <a:rPr lang="pt-BR" b="1" i="1" kern="0" baseline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-1</a:t>
          </a:r>
          <a:endParaRPr lang="pt-BR" b="1" i="1" kern="0" baseline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  <xdr:twoCellAnchor>
    <xdr:from>
      <xdr:col>17</xdr:col>
      <xdr:colOff>447675</xdr:colOff>
      <xdr:row>17</xdr:row>
      <xdr:rowOff>85725</xdr:rowOff>
    </xdr:from>
    <xdr:to>
      <xdr:col>22</xdr:col>
      <xdr:colOff>352425</xdr:colOff>
      <xdr:row>21</xdr:row>
      <xdr:rowOff>145838</xdr:rowOff>
    </xdr:to>
    <xdr:sp>
      <xdr:nvSpPr>
        <xdr:cNvPr id="6" name="Text Box 7"/>
        <xdr:cNvSpPr txBox="1">
          <a:spLocks noChangeArrowheads="1"/>
        </xdr:cNvSpPr>
      </xdr:nvSpPr>
      <xdr:spPr>
        <a:xfrm>
          <a:off x="12211050" y="6238875"/>
          <a:ext cx="2952750" cy="1507490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=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P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(1+ </a:t>
          </a:r>
          <a:r>
            <a:rPr lang="pt-BR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baseline="30000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endParaRPr lang="pt-BR" b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(1+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b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r>
            <a:rPr lang="pt-BR" b="1" i="1" kern="0" baseline="30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 </a:t>
          </a: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= F/P</a:t>
          </a:r>
          <a:endParaRPr lang="pt-BR" b="1" i="1" kern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  <a:p>
          <a:pPr algn="ctr">
            <a:spcBef>
              <a:spcPct val="50000"/>
            </a:spcBef>
            <a:defRPr/>
          </a:pPr>
          <a:r>
            <a:rPr lang="pt-BR" b="1" i="1" kern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 = (F/P)</a:t>
          </a:r>
          <a:r>
            <a:rPr lang="pt-BR" b="1" i="1" kern="0" baseline="3000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(1/n) </a:t>
          </a:r>
          <a:r>
            <a:rPr lang="pt-BR" b="1" i="1" kern="0" baseline="0">
              <a:solidFill>
                <a:sysClr val="windowText" lastClr="000000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-1</a:t>
          </a:r>
          <a:endParaRPr lang="pt-BR" b="1" i="1" kern="0" baseline="0">
            <a:solidFill>
              <a:sysClr val="windowText" lastClr="000000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324971</xdr:colOff>
      <xdr:row>0</xdr:row>
      <xdr:rowOff>134470</xdr:rowOff>
    </xdr:from>
    <xdr:to>
      <xdr:col>12</xdr:col>
      <xdr:colOff>235093</xdr:colOff>
      <xdr:row>3</xdr:row>
      <xdr:rowOff>136588</xdr:rowOff>
    </xdr:to>
    <xdr:sp>
      <xdr:nvSpPr>
        <xdr:cNvPr id="2" name="CaixaDeTexto 5"/>
        <xdr:cNvSpPr txBox="1"/>
      </xdr:nvSpPr>
      <xdr:spPr>
        <a:xfrm>
          <a:off x="1543685" y="133985"/>
          <a:ext cx="10216515" cy="5740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 ACUMULADA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 =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1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*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2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* ... *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N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– 1</a:t>
          </a:r>
          <a:endParaRPr lang="pt-BR" sz="2000" b="1">
            <a:solidFill>
              <a:schemeClr val="tx1"/>
            </a:solidFill>
            <a:latin typeface="Zurich Cn BT" panose="020B050602020204020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47625</xdr:colOff>
      <xdr:row>0</xdr:row>
      <xdr:rowOff>81644</xdr:rowOff>
    </xdr:from>
    <xdr:to>
      <xdr:col>14</xdr:col>
      <xdr:colOff>257905</xdr:colOff>
      <xdr:row>2</xdr:row>
      <xdr:rowOff>83762</xdr:rowOff>
    </xdr:to>
    <xdr:sp>
      <xdr:nvSpPr>
        <xdr:cNvPr id="3" name="CaixaDeTexto 5"/>
        <xdr:cNvSpPr txBox="1"/>
      </xdr:nvSpPr>
      <xdr:spPr>
        <a:xfrm>
          <a:off x="1876425" y="81280"/>
          <a:ext cx="10201910" cy="3829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 ACUMULADA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 =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1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*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2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* ... * (1 + i</a:t>
          </a:r>
          <a:r>
            <a:rPr lang="pt-BR" sz="2000" b="1" baseline="-25000">
              <a:solidFill>
                <a:schemeClr val="tx1"/>
              </a:solidFill>
              <a:latin typeface="Zurich Cn BT" panose="020B0506020202040204"/>
            </a:rPr>
            <a:t>PERÍODO N</a:t>
          </a:r>
          <a:r>
            <a:rPr lang="pt-BR" sz="2000" b="1">
              <a:solidFill>
                <a:schemeClr val="tx1"/>
              </a:solidFill>
              <a:latin typeface="Zurich Cn BT" panose="020B0506020202040204"/>
            </a:rPr>
            <a:t>) – 1</a:t>
          </a:r>
          <a:endParaRPr lang="pt-BR" sz="2000" b="1">
            <a:solidFill>
              <a:schemeClr val="tx1"/>
            </a:solidFill>
            <a:latin typeface="Zurich Cn BT" panose="020B050602020204020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142876</xdr:colOff>
      <xdr:row>2</xdr:row>
      <xdr:rowOff>114300</xdr:rowOff>
    </xdr:from>
    <xdr:to>
      <xdr:col>12</xdr:col>
      <xdr:colOff>28576</xdr:colOff>
      <xdr:row>32</xdr:row>
      <xdr:rowOff>76200</xdr:rowOff>
    </xdr:to>
    <xdr:sp>
      <xdr:nvSpPr>
        <xdr:cNvPr id="2" name="Espaço Reservado para Conteúdo 10" descr="e73fcbea-cb8c-4a90-af72-3246f1dc708d"/>
        <xdr:cNvSpPr>
          <a:spLocks noGrp="1"/>
        </xdr:cNvSpPr>
      </xdr:nvSpPr>
      <xdr:spPr>
        <a:xfrm>
          <a:off x="142875" y="838200"/>
          <a:ext cx="7200900" cy="10820400"/>
        </a:xfrm>
        <a:prstGeom prst="rect">
          <a:avLst/>
        </a:prstGeom>
      </xdr:spPr>
      <xdr:txBody>
        <a:bodyPr vert="horz" wrap="square" lIns="91440" tIns="45720" rIns="91440" bIns="45720" rtlCol="0">
          <a:noAutofit/>
        </a:bodyPr>
        <a:lstStyle>
          <a:lvl1pPr marL="1289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Wingdings" panose="05000000000000000000" pitchFamily="2" charset="2"/>
            <a:buChar char="§"/>
            <a:defRPr sz="30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1pPr>
          <a:lvl2pPr marL="38608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05000"/>
            <a:buFont typeface="Wingdings" panose="05000000000000000000" pitchFamily="2" charset="2"/>
            <a:buChar char="Ø"/>
            <a:defRPr sz="28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2pPr>
          <a:lvl3pPr marL="64325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2E3338"/>
            </a:buClr>
            <a:buSzPct val="110000"/>
            <a:buFont typeface="Wingdings" panose="05000000000000000000" pitchFamily="2" charset="2"/>
            <a:buChar char="ü"/>
            <a:defRPr sz="24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3pPr>
          <a:lvl4pPr marL="90043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4pPr>
          <a:lvl5pPr marL="11576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5pPr>
          <a:lvl6pPr marL="141478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167195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192913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18630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Aft>
              <a:spcPts val="600"/>
            </a:spcAft>
          </a:pPr>
          <a:r>
            <a:rPr lang="pt-BR"/>
            <a:t>Exemplo 9:</a:t>
          </a:r>
          <a:endParaRPr lang="pt-BR"/>
        </a:p>
        <a:p>
          <a:pPr lvl="1">
            <a:spcAft>
              <a:spcPts val="600"/>
            </a:spcAft>
          </a:pPr>
          <a:r>
            <a:rPr lang="pt-BR"/>
            <a:t>Calcule a taxa efetiva mensal equivalente dos dados referentes a poupança do exemplo anterior.</a:t>
          </a:r>
          <a:endParaRPr lang="pt-BR"/>
        </a:p>
        <a:p>
          <a:pPr lvl="1">
            <a:spcAft>
              <a:spcPts val="600"/>
            </a:spcAft>
          </a:pPr>
          <a:endParaRPr lang="pt-BR"/>
        </a:p>
        <a:p>
          <a:pPr lvl="1">
            <a:spcAft>
              <a:spcPts val="600"/>
            </a:spcAft>
          </a:pPr>
          <a:r>
            <a:rPr lang="pt-BR"/>
            <a:t>Calcule a taxa efetiva mensal equivalente dos dados referentes a infla</a:t>
          </a:r>
          <a:r>
            <a:rPr lang="en-US"/>
            <a:t>ção</a:t>
          </a:r>
          <a:r>
            <a:rPr lang="pt-BR"/>
            <a:t> do exemplo anterior.</a:t>
          </a:r>
          <a:endParaRPr lang="pt-BR"/>
        </a:p>
        <a:p>
          <a:pPr lvl="1">
            <a:spcAft>
              <a:spcPts val="600"/>
            </a:spcAft>
          </a:pPr>
          <a:endParaRPr lang="pt-BR"/>
        </a:p>
        <a:p>
          <a:pPr lvl="1">
            <a:spcAft>
              <a:spcPts val="600"/>
            </a:spcAft>
          </a:pPr>
          <a:r>
            <a:rPr lang="pt-BR"/>
            <a:t>A taxa média do rotativo do cartão de crédito nos bancos brasileiros em janeiro de 2020 foi de 12,63% ao mês. Qual a taxa equivalente anual? </a:t>
          </a:r>
          <a:endParaRPr lang="pt-BR"/>
        </a:p>
        <a:p>
          <a:pPr lvl="1">
            <a:spcAft>
              <a:spcPts val="600"/>
            </a:spcAft>
          </a:pPr>
          <a:endParaRPr lang="pt-BR"/>
        </a:p>
        <a:p>
          <a:pPr lvl="1">
            <a:spcAft>
              <a:spcPts val="600"/>
            </a:spcAft>
          </a:pPr>
          <a:r>
            <a:rPr lang="pt-BR"/>
            <a:t>A taxa média do cheque especial nos bancos em janeiro de 2020 foi de 165,6% ao ano. Qual a taxa equivalente mensal?</a:t>
          </a:r>
          <a:br>
            <a:rPr lang="pt-BR"/>
          </a:br>
          <a:br>
            <a:rPr lang="pt-BR"/>
          </a:br>
          <a:endParaRPr lang="pt-BR"/>
        </a:p>
        <a:p>
          <a:pPr lvl="1"/>
          <a:endParaRPr lang="pt-BR"/>
        </a:p>
        <a:p>
          <a:pPr lvl="1"/>
          <a:endParaRPr lang="pt-BR"/>
        </a:p>
        <a:p>
          <a:pPr marL="457200" lvl="1" indent="0">
            <a:buNone/>
          </a:pPr>
          <a:endParaRPr lang="pt-BR"/>
        </a:p>
        <a:p>
          <a:endParaRPr lang="pt-BR"/>
        </a:p>
      </xdr:txBody>
    </xdr:sp>
    <xdr:clientData/>
  </xdr:twoCellAnchor>
  <xdr:twoCellAnchor>
    <xdr:from>
      <xdr:col>12</xdr:col>
      <xdr:colOff>190500</xdr:colOff>
      <xdr:row>0</xdr:row>
      <xdr:rowOff>330200</xdr:rowOff>
    </xdr:from>
    <xdr:to>
      <xdr:col>27</xdr:col>
      <xdr:colOff>203162</xdr:colOff>
      <xdr:row>2</xdr:row>
      <xdr:rowOff>67965</xdr:rowOff>
    </xdr:to>
    <xdr:sp>
      <xdr:nvSpPr>
        <xdr:cNvPr id="3" name="CaixaDeTexto 5"/>
        <xdr:cNvSpPr txBox="1"/>
      </xdr:nvSpPr>
      <xdr:spPr>
        <a:xfrm>
          <a:off x="7505700" y="330200"/>
          <a:ext cx="9813290" cy="46164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sz="2000" b="1">
              <a:latin typeface="+mn-lt"/>
            </a:rPr>
            <a:t> </a:t>
          </a:r>
          <a:r>
            <a:rPr lang="pt-BR" b="1">
              <a:solidFill>
                <a:schemeClr val="tx1"/>
              </a:solidFill>
              <a:latin typeface="Zurich Cn BT" panose="020B0506020202040204"/>
            </a:rPr>
            <a:t>i</a:t>
          </a:r>
          <a:r>
            <a:rPr lang="pt-BR" b="1" baseline="-25000">
              <a:solidFill>
                <a:schemeClr val="tx1"/>
              </a:solidFill>
              <a:latin typeface="Zurich Cn BT" panose="020B0506020202040204"/>
            </a:rPr>
            <a:t>DESEJADA</a:t>
          </a:r>
          <a:r>
            <a:rPr lang="pt-BR" b="1">
              <a:solidFill>
                <a:schemeClr val="tx1"/>
              </a:solidFill>
              <a:latin typeface="Zurich Cn BT" panose="020B0506020202040204"/>
            </a:rPr>
            <a:t> = (1 + i</a:t>
          </a:r>
          <a:r>
            <a:rPr lang="pt-BR" b="1" baseline="-25000">
              <a:solidFill>
                <a:schemeClr val="tx1"/>
              </a:solidFill>
              <a:latin typeface="Zurich Cn BT" panose="020B0506020202040204"/>
            </a:rPr>
            <a:t>CONHECIDA</a:t>
          </a:r>
          <a:r>
            <a:rPr lang="pt-BR" b="1">
              <a:solidFill>
                <a:schemeClr val="tx1"/>
              </a:solidFill>
              <a:latin typeface="Zurich Cn BT" panose="020B0506020202040204"/>
            </a:rPr>
            <a:t> ) </a:t>
          </a:r>
          <a:r>
            <a:rPr lang="pt-BR" b="1" baseline="80000">
              <a:solidFill>
                <a:schemeClr val="tx1"/>
              </a:solidFill>
              <a:latin typeface="Zurich Cn BT" panose="020B0506020202040204"/>
            </a:rPr>
            <a:t>(“ N ”</a:t>
          </a:r>
          <a:r>
            <a:rPr lang="pt-BR" b="1" baseline="40000">
              <a:solidFill>
                <a:schemeClr val="tx1"/>
              </a:solidFill>
              <a:latin typeface="Zurich Cn BT" panose="020B0506020202040204"/>
            </a:rPr>
            <a:t>DA TAXA DESEJADA     </a:t>
          </a:r>
          <a:r>
            <a:rPr lang="pt-BR" b="1" baseline="80000">
              <a:solidFill>
                <a:schemeClr val="tx1"/>
              </a:solidFill>
              <a:latin typeface="Zurich Cn BT" panose="020B0506020202040204"/>
            </a:rPr>
            <a:t>“ N ” </a:t>
          </a:r>
          <a:r>
            <a:rPr lang="pt-BR" b="1" baseline="40000">
              <a:solidFill>
                <a:schemeClr val="tx1"/>
              </a:solidFill>
              <a:latin typeface="Zurich Cn BT" panose="020B0506020202040204"/>
            </a:rPr>
            <a:t>DA TAXA CONHECIDA  </a:t>
          </a:r>
          <a:r>
            <a:rPr lang="pt-BR" b="1" baseline="80000">
              <a:solidFill>
                <a:schemeClr val="tx1"/>
              </a:solidFill>
              <a:latin typeface="Zurich Cn BT" panose="020B0506020202040204"/>
            </a:rPr>
            <a:t>)</a:t>
          </a:r>
          <a:r>
            <a:rPr lang="pt-BR" b="1">
              <a:solidFill>
                <a:schemeClr val="tx1"/>
              </a:solidFill>
              <a:latin typeface="Zurich Cn BT" panose="020B0506020202040204"/>
            </a:rPr>
            <a:t>  –  1</a:t>
          </a:r>
          <a:endParaRPr lang="pt-BR" b="1">
            <a:solidFill>
              <a:schemeClr val="tx1"/>
            </a:solidFill>
            <a:latin typeface="Zurich Cn BT" panose="020B0506020202040204"/>
          </a:endParaRPr>
        </a:p>
      </xdr:txBody>
    </xdr:sp>
    <xdr:clientData/>
  </xdr:twoCellAnchor>
  <xdr:twoCellAnchor>
    <xdr:from>
      <xdr:col>20</xdr:col>
      <xdr:colOff>56093</xdr:colOff>
      <xdr:row>0</xdr:row>
      <xdr:rowOff>264584</xdr:rowOff>
    </xdr:from>
    <xdr:to>
      <xdr:col>20</xdr:col>
      <xdr:colOff>121126</xdr:colOff>
      <xdr:row>1</xdr:row>
      <xdr:rowOff>191651</xdr:rowOff>
    </xdr:to>
    <xdr:cxnSp>
      <xdr:nvCxnSpPr>
        <xdr:cNvPr id="4" name="Conector Reto 3"/>
        <xdr:cNvCxnSpPr>
          <a:cxnSpLocks noChangeShapeType="1"/>
        </xdr:cNvCxnSpPr>
      </xdr:nvCxnSpPr>
      <xdr:spPr>
        <a:xfrm flipV="1">
          <a:off x="12905105" y="264160"/>
          <a:ext cx="64770" cy="288925"/>
        </a:xfrm>
        <a:prstGeom prst="line">
          <a:avLst/>
        </a:prstGeom>
        <a:noFill/>
        <a:ln w="25400" algn="ctr">
          <a:solidFill>
            <a:schemeClr val="tx1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285751</xdr:colOff>
      <xdr:row>2</xdr:row>
      <xdr:rowOff>200025</xdr:rowOff>
    </xdr:from>
    <xdr:to>
      <xdr:col>13</xdr:col>
      <xdr:colOff>571501</xdr:colOff>
      <xdr:row>26</xdr:row>
      <xdr:rowOff>258266</xdr:rowOff>
    </xdr:to>
    <xdr:sp>
      <xdr:nvSpPr>
        <xdr:cNvPr id="2" name="Espaço Reservado para Conteúdo 10" descr="b91b9bf5-12e3-4003-afc6-24bdc615403e"/>
        <xdr:cNvSpPr>
          <a:spLocks noGrp="1"/>
        </xdr:cNvSpPr>
      </xdr:nvSpPr>
      <xdr:spPr>
        <a:xfrm>
          <a:off x="285750" y="923925"/>
          <a:ext cx="8210550" cy="9001760"/>
        </a:xfrm>
        <a:prstGeom prst="rect">
          <a:avLst/>
        </a:prstGeom>
      </xdr:spPr>
      <xdr:txBody>
        <a:bodyPr vert="horz" wrap="square" lIns="91440" tIns="45720" rIns="91440" bIns="45720" rtlCol="0">
          <a:noAutofit/>
        </a:bodyPr>
        <a:lstStyle>
          <a:lvl1pPr marL="1289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Wingdings" panose="05000000000000000000" pitchFamily="2" charset="2"/>
            <a:buChar char="§"/>
            <a:defRPr sz="30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1pPr>
          <a:lvl2pPr marL="38608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05000"/>
            <a:buFont typeface="Wingdings" panose="05000000000000000000" pitchFamily="2" charset="2"/>
            <a:buChar char="Ø"/>
            <a:defRPr sz="28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2pPr>
          <a:lvl3pPr marL="64325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2E3338"/>
            </a:buClr>
            <a:buSzPct val="110000"/>
            <a:buFont typeface="Wingdings" panose="05000000000000000000" pitchFamily="2" charset="2"/>
            <a:buChar char="ü"/>
            <a:defRPr sz="24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3pPr>
          <a:lvl4pPr marL="900430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AC142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4pPr>
          <a:lvl5pPr marL="1157605" marR="0" indent="-128905" algn="l" defTabSz="51435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7BC3"/>
            </a:buClr>
            <a:buSzPct val="115000"/>
            <a:buFont typeface="Arial" panose="020B0604020202020204" pitchFamily="7" charset="0"/>
            <a:buChar char="•"/>
            <a:defRPr sz="2200" kern="1200">
              <a:solidFill>
                <a:schemeClr val="tx1"/>
              </a:solidFill>
              <a:latin typeface="Zurich Cn BT" panose="020B0506020202040204" pitchFamily="34" charset="0"/>
              <a:ea typeface="+mn-ea"/>
              <a:cs typeface="Arial" panose="020B0604020202020204" pitchFamily="7" charset="0"/>
            </a:defRPr>
          </a:lvl5pPr>
          <a:lvl6pPr marL="141478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167195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1929130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186305" indent="-128905" algn="l" defTabSz="514350" rtl="0" eaLnBrk="1" latinLnBrk="0" hangingPunct="1">
            <a:lnSpc>
              <a:spcPct val="90000"/>
            </a:lnSpc>
            <a:spcBef>
              <a:spcPts val="280"/>
            </a:spcBef>
            <a:buFont typeface="Arial" panose="020B0604020202020204" pitchFamily="7" charset="0"/>
            <a:buChar char="•"/>
            <a:defRPr sz="1015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30000"/>
            </a:lnSpc>
          </a:pPr>
          <a:r>
            <a:rPr lang="pt-BR"/>
            <a:t>Exemplo 10:</a:t>
          </a:r>
          <a:endParaRPr lang="pt-BR"/>
        </a:p>
        <a:p>
          <a:pPr lvl="1">
            <a:lnSpc>
              <a:spcPct val="130000"/>
            </a:lnSpc>
            <a:spcAft>
              <a:spcPts val="600"/>
            </a:spcAft>
          </a:pPr>
          <a:r>
            <a:rPr lang="pt-BR"/>
            <a:t>A inflação brasileira em 2019 foi de 4,31% a.a., enquanto um investimento na poupança neste ano rendeu 4,34% a.a. para novas aplicações e 6,16% para aplicação antigas. Neste mesmo período o Ibovespa acumulou alta de 31,58%. Com base nesses dados, calcule o ganho real da poupança e do Ibovespa.</a:t>
          </a:r>
          <a:endParaRPr lang="pt-BR"/>
        </a:p>
        <a:p>
          <a:pPr lvl="1">
            <a:lnSpc>
              <a:spcPct val="130000"/>
            </a:lnSpc>
          </a:pPr>
          <a:r>
            <a:rPr lang="pt-BR"/>
            <a:t>Considere agora um investidor que tenha comprado um título que tenha rendido 8,5% a.a. Sabendo que a inflação no período foi de 9,75% a.a., calcule o ganho real deste investidor.</a:t>
          </a:r>
          <a:endParaRPr lang="pt-BR"/>
        </a:p>
        <a:p>
          <a:pPr lvl="1">
            <a:lnSpc>
              <a:spcPct val="130000"/>
            </a:lnSpc>
          </a:pPr>
          <a:endParaRPr lang="pt-BR"/>
        </a:p>
        <a:p>
          <a:pPr lvl="1">
            <a:lnSpc>
              <a:spcPct val="130000"/>
            </a:lnSpc>
          </a:pPr>
          <a:endParaRPr lang="pt-BR"/>
        </a:p>
        <a:p>
          <a:pPr lvl="1">
            <a:lnSpc>
              <a:spcPct val="130000"/>
            </a:lnSpc>
          </a:pPr>
          <a:endParaRPr lang="pt-BR"/>
        </a:p>
        <a:p>
          <a:pPr lvl="1">
            <a:lnSpc>
              <a:spcPct val="130000"/>
            </a:lnSpc>
          </a:pPr>
          <a:endParaRPr lang="pt-BR"/>
        </a:p>
        <a:p>
          <a:pPr marL="457200" lvl="1" indent="0">
            <a:lnSpc>
              <a:spcPct val="130000"/>
            </a:lnSpc>
            <a:buNone/>
          </a:pPr>
          <a:endParaRPr lang="pt-BR"/>
        </a:p>
        <a:p>
          <a:endParaRPr lang="pt-BR"/>
        </a:p>
      </xdr:txBody>
    </xdr:sp>
    <xdr:clientData/>
  </xdr:twoCellAnchor>
  <xdr:twoCellAnchor>
    <xdr:from>
      <xdr:col>15</xdr:col>
      <xdr:colOff>666750</xdr:colOff>
      <xdr:row>0</xdr:row>
      <xdr:rowOff>179070</xdr:rowOff>
    </xdr:from>
    <xdr:to>
      <xdr:col>19</xdr:col>
      <xdr:colOff>174020</xdr:colOff>
      <xdr:row>3</xdr:row>
      <xdr:rowOff>350520</xdr:rowOff>
    </xdr:to>
    <xdr:grpSp>
      <xdr:nvGrpSpPr>
        <xdr:cNvPr id="11" name="Grupo 10"/>
        <xdr:cNvGrpSpPr/>
      </xdr:nvGrpSpPr>
      <xdr:grpSpPr>
        <a:xfrm>
          <a:off x="10020300" y="179070"/>
          <a:ext cx="3812540" cy="1257300"/>
          <a:chOff x="778879" y="2099627"/>
          <a:chExt cx="3099309" cy="695216"/>
        </a:xfrm>
      </xdr:grpSpPr>
      <xdr:sp>
        <xdr:nvSpPr>
          <xdr:cNvPr id="12" name="Text Box 85"/>
          <xdr:cNvSpPr txBox="1">
            <a:spLocks noChangeArrowheads="1"/>
          </xdr:cNvSpPr>
        </xdr:nvSpPr>
        <xdr:spPr>
          <a:xfrm>
            <a:off x="778879" y="2271752"/>
            <a:ext cx="792163" cy="499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</a:pP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i </a:t>
            </a:r>
            <a:r>
              <a:rPr lang="pt-BR" altLang="pt-BR" sz="2800" b="1" baseline="-25000">
                <a:solidFill>
                  <a:sysClr val="windowText" lastClr="000000"/>
                </a:solidFill>
                <a:latin typeface="Zurich Cn BT" panose="020B0506020202040204"/>
              </a:rPr>
              <a:t>r</a:t>
            </a: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   =</a:t>
            </a:r>
            <a:endParaRPr lang="pt-BR" altLang="pt-BR" sz="2800" b="1">
              <a:solidFill>
                <a:sysClr val="windowText" lastClr="000000"/>
              </a:solidFill>
              <a:latin typeface="Zurich Cn BT" panose="020B0506020202040204"/>
            </a:endParaRPr>
          </a:p>
        </xdr:txBody>
      </xdr:sp>
      <xdr:sp>
        <xdr:nvSpPr>
          <xdr:cNvPr id="13" name="Text Box 87"/>
          <xdr:cNvSpPr txBox="1">
            <a:spLocks noChangeArrowheads="1"/>
          </xdr:cNvSpPr>
        </xdr:nvSpPr>
        <xdr:spPr>
          <a:xfrm>
            <a:off x="2944738" y="2255657"/>
            <a:ext cx="933450" cy="499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</a:pP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1</a:t>
            </a:r>
            <a:endParaRPr lang="pt-BR" altLang="pt-BR" sz="2800" b="1">
              <a:solidFill>
                <a:sysClr val="windowText" lastClr="000000"/>
              </a:solidFill>
              <a:latin typeface="Zurich Cn BT" panose="020B0506020202040204"/>
            </a:endParaRPr>
          </a:p>
        </xdr:txBody>
      </xdr:sp>
      <xdr:sp>
        <xdr:nvSpPr>
          <xdr:cNvPr id="14" name="Text Box 88"/>
          <xdr:cNvSpPr txBox="1">
            <a:spLocks noChangeArrowheads="1"/>
          </xdr:cNvSpPr>
        </xdr:nvSpPr>
        <xdr:spPr>
          <a:xfrm>
            <a:off x="2668503" y="2255659"/>
            <a:ext cx="214801" cy="4992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</a:pP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– </a:t>
            </a:r>
            <a:endParaRPr lang="pt-BR" altLang="pt-BR" sz="2800" b="1">
              <a:solidFill>
                <a:sysClr val="windowText" lastClr="000000"/>
              </a:solidFill>
              <a:latin typeface="Zurich Cn BT" panose="020B0506020202040204"/>
            </a:endParaRPr>
          </a:p>
        </xdr:txBody>
      </xdr:sp>
      <xdr:sp>
        <xdr:nvSpPr>
          <xdr:cNvPr id="15" name="Text Box 89"/>
          <xdr:cNvSpPr txBox="1">
            <a:spLocks noChangeArrowheads="1"/>
          </xdr:cNvSpPr>
        </xdr:nvSpPr>
        <xdr:spPr>
          <a:xfrm>
            <a:off x="1529499" y="2099627"/>
            <a:ext cx="1081088" cy="6952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pPr algn="ctr">
              <a:spcBef>
                <a:spcPct val="50000"/>
              </a:spcBef>
            </a:pP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( 1 + i ) </a:t>
            </a:r>
            <a:endParaRPr lang="pt-BR" altLang="pt-BR" sz="2800" b="1">
              <a:solidFill>
                <a:sysClr val="windowText" lastClr="000000"/>
              </a:solidFill>
              <a:latin typeface="Zurich Cn BT" panose="020B0506020202040204"/>
            </a:endParaRPr>
          </a:p>
          <a:p>
            <a:pPr algn="ctr">
              <a:spcBef>
                <a:spcPct val="50000"/>
              </a:spcBef>
            </a:pP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( 1 + </a:t>
            </a:r>
            <a:r>
              <a:rPr lang="pt-BR" altLang="pt-BR" sz="2800" b="1">
                <a:solidFill>
                  <a:sysClr val="windowText" lastClr="000000"/>
                </a:solidFill>
                <a:latin typeface="Symbol" panose="05050102010706020507" pitchFamily="18" charset="2"/>
              </a:rPr>
              <a:t>p </a:t>
            </a:r>
            <a:r>
              <a:rPr lang="pt-BR" altLang="pt-BR" sz="2800" b="1">
                <a:solidFill>
                  <a:sysClr val="windowText" lastClr="000000"/>
                </a:solidFill>
                <a:latin typeface="Zurich Cn BT" panose="020B0506020202040204"/>
              </a:rPr>
              <a:t>)</a:t>
            </a:r>
            <a:endParaRPr lang="pt-BR" altLang="pt-BR" sz="2800" b="1">
              <a:solidFill>
                <a:sysClr val="windowText" lastClr="000000"/>
              </a:solidFill>
              <a:latin typeface="Zurich Cn BT" panose="020B0506020202040204"/>
            </a:endParaRPr>
          </a:p>
        </xdr:txBody>
      </xdr:sp>
      <xdr:sp>
        <xdr:nvSpPr>
          <xdr:cNvPr id="16" name="Line 90"/>
          <xdr:cNvSpPr>
            <a:spLocks noChangeShapeType="1"/>
          </xdr:cNvSpPr>
        </xdr:nvSpPr>
        <xdr:spPr>
          <a:xfrm>
            <a:off x="1604975" y="2414231"/>
            <a:ext cx="936625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wrap="square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2400" kern="120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lvl9pPr>
          </a:lstStyle>
          <a:p>
            <a:endParaRPr lang="pt-BR" sz="2800">
              <a:solidFill>
                <a:sysClr val="windowText" lastClr="000000"/>
              </a:solidFill>
              <a:latin typeface="+mj-lt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239713</xdr:colOff>
      <xdr:row>9</xdr:row>
      <xdr:rowOff>96043</xdr:rowOff>
    </xdr:from>
    <xdr:to>
      <xdr:col>8</xdr:col>
      <xdr:colOff>56991</xdr:colOff>
      <xdr:row>11</xdr:row>
      <xdr:rowOff>12189</xdr:rowOff>
    </xdr:to>
    <xdr:sp>
      <xdr:nvSpPr>
        <xdr:cNvPr id="4" name="Text Box 6"/>
        <xdr:cNvSpPr txBox="1">
          <a:spLocks noChangeArrowheads="1"/>
        </xdr:cNvSpPr>
      </xdr:nvSpPr>
      <xdr:spPr>
        <a:xfrm>
          <a:off x="8678545" y="2620010"/>
          <a:ext cx="3541395" cy="525780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=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P 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(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1 +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x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)</a:t>
          </a:r>
          <a:endParaRPr lang="pt-BR" sz="2800" b="1" i="1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24765</xdr:colOff>
      <xdr:row>20</xdr:row>
      <xdr:rowOff>75090</xdr:rowOff>
    </xdr:from>
    <xdr:to>
      <xdr:col>7</xdr:col>
      <xdr:colOff>1695450</xdr:colOff>
      <xdr:row>23</xdr:row>
      <xdr:rowOff>59531</xdr:rowOff>
    </xdr:to>
    <xdr:sp>
      <xdr:nvSpPr>
        <xdr:cNvPr id="5" name="Text Box 6"/>
        <xdr:cNvSpPr txBox="1">
          <a:spLocks noChangeArrowheads="1"/>
        </xdr:cNvSpPr>
      </xdr:nvSpPr>
      <xdr:spPr>
        <a:xfrm>
          <a:off x="8463915" y="6018530"/>
          <a:ext cx="3623310" cy="555625"/>
        </a:xfrm>
        <a:prstGeom prst="rect">
          <a:avLst/>
        </a:prstGeom>
        <a:solidFill>
          <a:schemeClr val="bg1"/>
        </a:solidFill>
        <a:ln w="25400" algn="ctr">
          <a:solidFill>
            <a:schemeClr val="tx2"/>
          </a:solidFill>
          <a:miter lim="800000"/>
        </a:ln>
        <a:effectLst/>
      </xdr:spPr>
      <xdr:txBody>
        <a:bodyPr wrap="square">
          <a:no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pPr algn="ctr">
            <a:spcBef>
              <a:spcPct val="50000"/>
            </a:spcBef>
            <a:defRPr/>
          </a:pP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F = P (1+ </a:t>
          </a:r>
          <a:r>
            <a:rPr lang="pt-BR" sz="2800" b="1" i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i</a:t>
          </a:r>
          <a:r>
            <a:rPr lang="pt-BR" sz="2800" b="1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 )</a:t>
          </a:r>
          <a:r>
            <a:rPr lang="pt-BR" sz="2800" b="1" baseline="30000">
              <a:solidFill>
                <a:schemeClr val="tx1"/>
              </a:solidFill>
              <a:effectLst>
                <a:outerShdw blurRad="38100" dist="38100" dir="2700000" algn="tl">
                  <a:srgbClr val="C0C0C0"/>
                </a:outerShdw>
              </a:effectLst>
              <a:latin typeface="Arial" panose="020B0604020202020204" pitchFamily="7" charset="0"/>
            </a:rPr>
            <a:t>n</a:t>
          </a:r>
          <a:endParaRPr lang="pt-BR" sz="2800" b="1" baseline="30000">
            <a:solidFill>
              <a:schemeClr val="tx1"/>
            </a:solidFill>
            <a:effectLst>
              <a:outerShdw blurRad="38100" dist="38100" dir="2700000" algn="tl">
                <a:srgbClr val="C0C0C0"/>
              </a:outerShdw>
            </a:effectLst>
            <a:latin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F62"/>
  <sheetViews>
    <sheetView workbookViewId="0">
      <selection activeCell="G12" sqref="G12"/>
    </sheetView>
  </sheetViews>
  <sheetFormatPr defaultColWidth="9.14285714285714" defaultRowHeight="15" outlineLevelCol="5"/>
  <cols>
    <col min="1" max="2" width="9.14285714285714" style="1"/>
    <col min="3" max="3" width="11.7142857142857" style="1" customWidth="1"/>
    <col min="4" max="4" width="21.2857142857143" style="1" customWidth="1"/>
    <col min="5" max="5" width="22.2857142857143" style="1" customWidth="1"/>
    <col min="6" max="6" width="12.7142857142857" style="1" customWidth="1"/>
    <col min="7" max="16384" width="9.14285714285714" style="1"/>
  </cols>
  <sheetData>
    <row r="8" ht="26.25" spans="3:5">
      <c r="C8" s="100" t="s">
        <v>0</v>
      </c>
      <c r="D8" s="100">
        <v>500</v>
      </c>
      <c r="E8" s="100" t="s">
        <v>1</v>
      </c>
    </row>
    <row r="9" ht="26.25" spans="3:5">
      <c r="C9" s="100" t="s">
        <v>2</v>
      </c>
      <c r="D9" s="101">
        <v>0.04</v>
      </c>
      <c r="E9" s="100" t="s">
        <v>3</v>
      </c>
    </row>
    <row r="10" ht="26.25" spans="3:5">
      <c r="C10" s="100" t="s">
        <v>4</v>
      </c>
      <c r="D10" s="100">
        <v>48</v>
      </c>
      <c r="E10" s="100" t="s">
        <v>5</v>
      </c>
    </row>
    <row r="13" ht="36" customHeight="1" spans="3:5">
      <c r="C13" s="102" t="s">
        <v>6</v>
      </c>
      <c r="D13" s="102" t="s">
        <v>7</v>
      </c>
      <c r="E13" s="102" t="s">
        <v>8</v>
      </c>
    </row>
    <row r="14" ht="21" spans="3:5">
      <c r="C14" s="103">
        <v>0</v>
      </c>
      <c r="D14" s="104">
        <f>D8</f>
        <v>500</v>
      </c>
      <c r="E14" s="104">
        <f>D8</f>
        <v>500</v>
      </c>
    </row>
    <row r="15" ht="21" spans="3:5">
      <c r="C15" s="103">
        <v>1</v>
      </c>
      <c r="D15" s="104">
        <f>$D$14*(1+$D$9*C15)</f>
        <v>520</v>
      </c>
      <c r="E15" s="104">
        <f>$E$14*(1+$D$9)^C15</f>
        <v>520</v>
      </c>
    </row>
    <row r="16" ht="21" spans="3:5">
      <c r="C16" s="103">
        <v>2</v>
      </c>
      <c r="D16" s="104">
        <f t="shared" ref="D16:D62" si="0">$D$14*(1+$D$9*C16)</f>
        <v>540</v>
      </c>
      <c r="E16" s="104">
        <f t="shared" ref="E16:E62" si="1">$E$14*(1+$D$9)^C16</f>
        <v>540.8</v>
      </c>
    </row>
    <row r="17" ht="21" spans="3:5">
      <c r="C17" s="103">
        <v>3</v>
      </c>
      <c r="D17" s="104">
        <f t="shared" si="0"/>
        <v>560</v>
      </c>
      <c r="E17" s="104">
        <f t="shared" si="1"/>
        <v>562.432</v>
      </c>
    </row>
    <row r="18" ht="21" spans="3:5">
      <c r="C18" s="103">
        <v>4</v>
      </c>
      <c r="D18" s="104">
        <f t="shared" si="0"/>
        <v>580</v>
      </c>
      <c r="E18" s="104">
        <f t="shared" si="1"/>
        <v>584.92928</v>
      </c>
    </row>
    <row r="19" ht="21" spans="3:5">
      <c r="C19" s="103">
        <v>5</v>
      </c>
      <c r="D19" s="104">
        <f t="shared" si="0"/>
        <v>600</v>
      </c>
      <c r="E19" s="104">
        <f t="shared" si="1"/>
        <v>608.3264512</v>
      </c>
    </row>
    <row r="20" ht="21" spans="3:5">
      <c r="C20" s="103">
        <v>6</v>
      </c>
      <c r="D20" s="104">
        <f t="shared" si="0"/>
        <v>620</v>
      </c>
      <c r="E20" s="104">
        <f t="shared" si="1"/>
        <v>632.659509248</v>
      </c>
    </row>
    <row r="21" ht="21" spans="3:5">
      <c r="C21" s="103">
        <v>7</v>
      </c>
      <c r="D21" s="104">
        <f t="shared" si="0"/>
        <v>640</v>
      </c>
      <c r="E21" s="104">
        <f t="shared" si="1"/>
        <v>657.96588961792</v>
      </c>
    </row>
    <row r="22" ht="21" spans="3:5">
      <c r="C22" s="103">
        <v>8</v>
      </c>
      <c r="D22" s="104">
        <f t="shared" si="0"/>
        <v>660</v>
      </c>
      <c r="E22" s="104">
        <f t="shared" si="1"/>
        <v>684.284525202637</v>
      </c>
    </row>
    <row r="23" ht="21" spans="3:5">
      <c r="C23" s="103">
        <v>9</v>
      </c>
      <c r="D23" s="104">
        <f t="shared" si="0"/>
        <v>680</v>
      </c>
      <c r="E23" s="104">
        <f t="shared" si="1"/>
        <v>711.655906210743</v>
      </c>
    </row>
    <row r="24" ht="21" spans="3:5">
      <c r="C24" s="103">
        <v>10</v>
      </c>
      <c r="D24" s="104">
        <f t="shared" si="0"/>
        <v>700</v>
      </c>
      <c r="E24" s="104">
        <f t="shared" si="1"/>
        <v>740.122142459172</v>
      </c>
    </row>
    <row r="25" ht="21" spans="3:5">
      <c r="C25" s="103">
        <v>11</v>
      </c>
      <c r="D25" s="104">
        <f t="shared" si="0"/>
        <v>720</v>
      </c>
      <c r="E25" s="104">
        <f t="shared" si="1"/>
        <v>769.727028157539</v>
      </c>
    </row>
    <row r="26" ht="21" spans="3:5">
      <c r="C26" s="103">
        <v>12</v>
      </c>
      <c r="D26" s="104">
        <f t="shared" si="0"/>
        <v>740</v>
      </c>
      <c r="E26" s="104">
        <f t="shared" si="1"/>
        <v>800.516109283841</v>
      </c>
    </row>
    <row r="27" ht="21" spans="3:5">
      <c r="C27" s="103">
        <v>13</v>
      </c>
      <c r="D27" s="104">
        <f t="shared" si="0"/>
        <v>760</v>
      </c>
      <c r="E27" s="104">
        <f t="shared" si="1"/>
        <v>832.536753655195</v>
      </c>
    </row>
    <row r="28" ht="21" spans="3:5">
      <c r="C28" s="103">
        <v>14</v>
      </c>
      <c r="D28" s="104">
        <f t="shared" si="0"/>
        <v>780</v>
      </c>
      <c r="E28" s="104">
        <f t="shared" si="1"/>
        <v>865.838223801402</v>
      </c>
    </row>
    <row r="29" ht="21" spans="3:5">
      <c r="C29" s="103">
        <v>15</v>
      </c>
      <c r="D29" s="104">
        <f t="shared" si="0"/>
        <v>800</v>
      </c>
      <c r="E29" s="104">
        <f t="shared" si="1"/>
        <v>900.471752753458</v>
      </c>
    </row>
    <row r="30" ht="21" spans="3:5">
      <c r="C30" s="103">
        <v>16</v>
      </c>
      <c r="D30" s="104">
        <f t="shared" si="0"/>
        <v>820</v>
      </c>
      <c r="E30" s="104">
        <f t="shared" si="1"/>
        <v>936.490622863597</v>
      </c>
    </row>
    <row r="31" ht="21" spans="3:5">
      <c r="C31" s="103">
        <v>17</v>
      </c>
      <c r="D31" s="104">
        <f t="shared" si="0"/>
        <v>840</v>
      </c>
      <c r="E31" s="104">
        <f t="shared" si="1"/>
        <v>973.950247778141</v>
      </c>
    </row>
    <row r="32" ht="21" spans="3:5">
      <c r="C32" s="103">
        <v>18</v>
      </c>
      <c r="D32" s="104">
        <f t="shared" si="0"/>
        <v>860</v>
      </c>
      <c r="E32" s="104">
        <f t="shared" si="1"/>
        <v>1012.90825768927</v>
      </c>
    </row>
    <row r="33" ht="21" spans="3:5">
      <c r="C33" s="103">
        <v>19</v>
      </c>
      <c r="D33" s="104">
        <f t="shared" si="0"/>
        <v>880</v>
      </c>
      <c r="E33" s="104">
        <f t="shared" si="1"/>
        <v>1053.42458799684</v>
      </c>
    </row>
    <row r="34" ht="21" spans="3:5">
      <c r="C34" s="103">
        <v>20</v>
      </c>
      <c r="D34" s="104">
        <f t="shared" si="0"/>
        <v>900</v>
      </c>
      <c r="E34" s="104">
        <f t="shared" si="1"/>
        <v>1095.56157151671</v>
      </c>
    </row>
    <row r="35" ht="21" spans="3:5">
      <c r="C35" s="103">
        <v>21</v>
      </c>
      <c r="D35" s="104">
        <f t="shared" si="0"/>
        <v>920</v>
      </c>
      <c r="E35" s="104">
        <f t="shared" si="1"/>
        <v>1139.38403437738</v>
      </c>
    </row>
    <row r="36" ht="21" spans="3:5">
      <c r="C36" s="103">
        <v>22</v>
      </c>
      <c r="D36" s="104">
        <f t="shared" si="0"/>
        <v>940</v>
      </c>
      <c r="E36" s="104">
        <f t="shared" si="1"/>
        <v>1184.95939575247</v>
      </c>
    </row>
    <row r="37" ht="21" spans="3:5">
      <c r="C37" s="103">
        <v>23</v>
      </c>
      <c r="D37" s="104">
        <f t="shared" si="0"/>
        <v>960</v>
      </c>
      <c r="E37" s="104">
        <f t="shared" si="1"/>
        <v>1232.35777158257</v>
      </c>
    </row>
    <row r="38" ht="21" spans="3:5">
      <c r="C38" s="103">
        <v>24</v>
      </c>
      <c r="D38" s="104">
        <f t="shared" si="0"/>
        <v>980</v>
      </c>
      <c r="E38" s="104">
        <f t="shared" si="1"/>
        <v>1281.65208244588</v>
      </c>
    </row>
    <row r="39" ht="21" spans="3:5">
      <c r="C39" s="103">
        <v>25</v>
      </c>
      <c r="D39" s="104">
        <f t="shared" si="0"/>
        <v>1000</v>
      </c>
      <c r="E39" s="104">
        <f t="shared" si="1"/>
        <v>1332.91816574371</v>
      </c>
    </row>
    <row r="40" ht="21" spans="3:5">
      <c r="C40" s="103">
        <v>26</v>
      </c>
      <c r="D40" s="104">
        <f t="shared" si="0"/>
        <v>1020</v>
      </c>
      <c r="E40" s="104">
        <f t="shared" si="1"/>
        <v>1386.23489237346</v>
      </c>
    </row>
    <row r="41" ht="21" spans="3:5">
      <c r="C41" s="103">
        <v>27</v>
      </c>
      <c r="D41" s="104">
        <f t="shared" si="0"/>
        <v>1040</v>
      </c>
      <c r="E41" s="104">
        <f t="shared" si="1"/>
        <v>1441.6842880684</v>
      </c>
    </row>
    <row r="42" ht="21" spans="3:5">
      <c r="C42" s="103">
        <v>28</v>
      </c>
      <c r="D42" s="104">
        <f t="shared" si="0"/>
        <v>1060</v>
      </c>
      <c r="E42" s="104">
        <f t="shared" si="1"/>
        <v>1499.35165959113</v>
      </c>
    </row>
    <row r="43" ht="21" spans="3:5">
      <c r="C43" s="103">
        <v>29</v>
      </c>
      <c r="D43" s="104">
        <f t="shared" si="0"/>
        <v>1080</v>
      </c>
      <c r="E43" s="104">
        <f t="shared" si="1"/>
        <v>1559.32572597478</v>
      </c>
    </row>
    <row r="44" ht="21" spans="3:5">
      <c r="C44" s="103">
        <v>30</v>
      </c>
      <c r="D44" s="104">
        <f t="shared" si="0"/>
        <v>1100</v>
      </c>
      <c r="E44" s="104">
        <f t="shared" si="1"/>
        <v>1621.69875501377</v>
      </c>
    </row>
    <row r="45" ht="21" spans="3:5">
      <c r="C45" s="103">
        <v>31</v>
      </c>
      <c r="D45" s="104">
        <f t="shared" si="0"/>
        <v>1120</v>
      </c>
      <c r="E45" s="104">
        <f t="shared" si="1"/>
        <v>1686.56670521432</v>
      </c>
    </row>
    <row r="46" ht="21" spans="3:5">
      <c r="C46" s="103">
        <v>32</v>
      </c>
      <c r="D46" s="104">
        <f t="shared" si="0"/>
        <v>1140</v>
      </c>
      <c r="E46" s="104">
        <f t="shared" si="1"/>
        <v>1754.0293734229</v>
      </c>
    </row>
    <row r="47" ht="21" spans="3:5">
      <c r="C47" s="103">
        <v>33</v>
      </c>
      <c r="D47" s="104">
        <f t="shared" si="0"/>
        <v>1160</v>
      </c>
      <c r="E47" s="104">
        <f t="shared" si="1"/>
        <v>1824.19054835981</v>
      </c>
    </row>
    <row r="48" ht="21" spans="3:5">
      <c r="C48" s="103">
        <v>34</v>
      </c>
      <c r="D48" s="104">
        <f t="shared" si="0"/>
        <v>1180</v>
      </c>
      <c r="E48" s="104">
        <f t="shared" si="1"/>
        <v>1897.1581702942</v>
      </c>
    </row>
    <row r="49" ht="21" spans="3:5">
      <c r="C49" s="103">
        <v>35</v>
      </c>
      <c r="D49" s="104">
        <f t="shared" si="0"/>
        <v>1200</v>
      </c>
      <c r="E49" s="104">
        <f t="shared" si="1"/>
        <v>1973.04449710597</v>
      </c>
    </row>
    <row r="50" ht="21" spans="3:5">
      <c r="C50" s="103">
        <v>36</v>
      </c>
      <c r="D50" s="104">
        <f t="shared" si="0"/>
        <v>1220</v>
      </c>
      <c r="E50" s="104">
        <f t="shared" si="1"/>
        <v>2051.96627699021</v>
      </c>
    </row>
    <row r="51" ht="21" spans="3:5">
      <c r="C51" s="103">
        <v>37</v>
      </c>
      <c r="D51" s="104">
        <f t="shared" si="0"/>
        <v>1240</v>
      </c>
      <c r="E51" s="104">
        <f t="shared" si="1"/>
        <v>2134.04492806982</v>
      </c>
    </row>
    <row r="52" ht="21" spans="3:6">
      <c r="C52" s="103">
        <v>38</v>
      </c>
      <c r="D52" s="104">
        <f t="shared" si="0"/>
        <v>1260</v>
      </c>
      <c r="E52" s="104">
        <f t="shared" si="1"/>
        <v>2219.40672519261</v>
      </c>
      <c r="F52" s="105"/>
    </row>
    <row r="53" ht="21" spans="3:6">
      <c r="C53" s="103">
        <v>39</v>
      </c>
      <c r="D53" s="104">
        <f t="shared" si="0"/>
        <v>1280</v>
      </c>
      <c r="E53" s="104">
        <f t="shared" si="1"/>
        <v>2308.18299420032</v>
      </c>
      <c r="F53" s="105"/>
    </row>
    <row r="54" ht="21" spans="3:6">
      <c r="C54" s="103">
        <v>40</v>
      </c>
      <c r="D54" s="104">
        <f t="shared" si="0"/>
        <v>1300</v>
      </c>
      <c r="E54" s="104">
        <f t="shared" si="1"/>
        <v>2400.51031396833</v>
      </c>
      <c r="F54" s="105"/>
    </row>
    <row r="55" ht="21" spans="3:6">
      <c r="C55" s="103">
        <v>41</v>
      </c>
      <c r="D55" s="104">
        <f t="shared" si="0"/>
        <v>1320</v>
      </c>
      <c r="E55" s="104">
        <f t="shared" si="1"/>
        <v>2496.53072652706</v>
      </c>
      <c r="F55" s="105"/>
    </row>
    <row r="56" ht="21" spans="3:6">
      <c r="C56" s="103">
        <v>42</v>
      </c>
      <c r="D56" s="104">
        <f t="shared" si="0"/>
        <v>1340</v>
      </c>
      <c r="E56" s="104">
        <f t="shared" si="1"/>
        <v>2596.39195558815</v>
      </c>
      <c r="F56" s="105"/>
    </row>
    <row r="57" ht="21" spans="3:6">
      <c r="C57" s="103">
        <v>43</v>
      </c>
      <c r="D57" s="104">
        <f t="shared" si="0"/>
        <v>1360</v>
      </c>
      <c r="E57" s="104">
        <f t="shared" si="1"/>
        <v>2700.24763381167</v>
      </c>
      <c r="F57" s="105"/>
    </row>
    <row r="58" ht="21" spans="3:6">
      <c r="C58" s="103">
        <v>44</v>
      </c>
      <c r="D58" s="104">
        <f t="shared" si="0"/>
        <v>1380</v>
      </c>
      <c r="E58" s="104">
        <f t="shared" si="1"/>
        <v>2808.25753916414</v>
      </c>
      <c r="F58" s="105"/>
    </row>
    <row r="59" ht="21" spans="3:6">
      <c r="C59" s="103">
        <v>45</v>
      </c>
      <c r="D59" s="104">
        <f t="shared" si="0"/>
        <v>1400</v>
      </c>
      <c r="E59" s="104">
        <f t="shared" si="1"/>
        <v>2920.5878407307</v>
      </c>
      <c r="F59" s="105"/>
    </row>
    <row r="60" ht="21" spans="3:6">
      <c r="C60" s="103">
        <v>46</v>
      </c>
      <c r="D60" s="104">
        <f t="shared" si="0"/>
        <v>1420</v>
      </c>
      <c r="E60" s="104">
        <f t="shared" si="1"/>
        <v>3037.41135435993</v>
      </c>
      <c r="F60" s="105"/>
    </row>
    <row r="61" ht="21" spans="3:6">
      <c r="C61" s="103">
        <v>47</v>
      </c>
      <c r="D61" s="104">
        <f t="shared" si="0"/>
        <v>1440</v>
      </c>
      <c r="E61" s="104">
        <f t="shared" si="1"/>
        <v>3158.90780853433</v>
      </c>
      <c r="F61" s="105"/>
    </row>
    <row r="62" ht="21" spans="3:6">
      <c r="C62" s="103">
        <v>48</v>
      </c>
      <c r="D62" s="104">
        <f t="shared" si="0"/>
        <v>1460</v>
      </c>
      <c r="E62" s="104">
        <f t="shared" si="1"/>
        <v>3285.2641208757</v>
      </c>
      <c r="F62" s="105"/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:P22"/>
  <sheetViews>
    <sheetView workbookViewId="0">
      <selection activeCell="O6" sqref="O6"/>
    </sheetView>
  </sheetViews>
  <sheetFormatPr defaultColWidth="9.14285714285714" defaultRowHeight="28.5"/>
  <cols>
    <col min="1" max="11" width="9.14285714285714" style="1"/>
    <col min="12" max="12" width="13.2857142857143" style="1" customWidth="1"/>
    <col min="13" max="13" width="9.14285714285714" style="96"/>
    <col min="14" max="14" width="7.85714285714286" style="55" customWidth="1"/>
    <col min="15" max="15" width="29.4285714285714" style="55" customWidth="1"/>
    <col min="16" max="16" width="7" style="55" customWidth="1"/>
    <col min="17" max="17" width="9.14285714285714" style="96"/>
    <col min="18" max="16384" width="9.14285714285714" style="1"/>
  </cols>
  <sheetData>
    <row r="2" spans="14:15">
      <c r="N2" s="55" t="s">
        <v>9</v>
      </c>
      <c r="O2" s="97">
        <v>55000</v>
      </c>
    </row>
    <row r="3" spans="14:15">
      <c r="N3" s="55" t="s">
        <v>10</v>
      </c>
      <c r="O3" s="97">
        <v>110624.8</v>
      </c>
    </row>
    <row r="4" spans="14:16">
      <c r="N4" s="55" t="s">
        <v>11</v>
      </c>
      <c r="O4" s="98">
        <v>0.15</v>
      </c>
      <c r="P4" s="55" t="s">
        <v>3</v>
      </c>
    </row>
    <row r="5" spans="14:16">
      <c r="N5" s="55" t="s">
        <v>6</v>
      </c>
      <c r="O5" s="99">
        <f>LOG((O3/O2),(1+O4))</f>
        <v>5.00001000493101</v>
      </c>
      <c r="P5" s="55" t="s">
        <v>5</v>
      </c>
    </row>
    <row r="6" spans="14:16">
      <c r="N6" s="55" t="s">
        <v>6</v>
      </c>
      <c r="O6" s="99">
        <f>NPER(O4,,O2,-O3)</f>
        <v>5.00001000493101</v>
      </c>
      <c r="P6" s="55" t="s">
        <v>5</v>
      </c>
    </row>
    <row r="10" spans="14:15">
      <c r="N10" s="55" t="s">
        <v>9</v>
      </c>
      <c r="O10" s="97">
        <v>13200</v>
      </c>
    </row>
    <row r="11" spans="14:15">
      <c r="N11" s="55" t="s">
        <v>10</v>
      </c>
      <c r="O11" s="97">
        <v>35112.26</v>
      </c>
    </row>
    <row r="12" spans="14:16">
      <c r="N12" s="55" t="s">
        <v>6</v>
      </c>
      <c r="O12" s="55">
        <v>7</v>
      </c>
      <c r="P12" s="55" t="s">
        <v>12</v>
      </c>
    </row>
    <row r="13" spans="14:16">
      <c r="N13" s="55" t="s">
        <v>11</v>
      </c>
      <c r="O13" s="60">
        <f>(O11/O10)^(1/O12)-1</f>
        <v>0.149999988666899</v>
      </c>
      <c r="P13" s="55" t="s">
        <v>13</v>
      </c>
    </row>
    <row r="14" spans="14:15">
      <c r="N14" s="55" t="s">
        <v>11</v>
      </c>
      <c r="O14" s="54">
        <f>RATE(O12,,-O10,O11)</f>
        <v>0.149999988666899</v>
      </c>
    </row>
    <row r="18" spans="14:15">
      <c r="N18" s="55" t="s">
        <v>9</v>
      </c>
      <c r="O18" s="97">
        <v>3</v>
      </c>
    </row>
    <row r="19" spans="14:15">
      <c r="N19" s="55" t="s">
        <v>10</v>
      </c>
      <c r="O19" s="97">
        <v>3.7</v>
      </c>
    </row>
    <row r="20" spans="14:16">
      <c r="N20" s="55" t="s">
        <v>6</v>
      </c>
      <c r="O20" s="55">
        <v>10</v>
      </c>
      <c r="P20" s="55" t="s">
        <v>14</v>
      </c>
    </row>
    <row r="21" spans="14:16">
      <c r="N21" s="55" t="s">
        <v>11</v>
      </c>
      <c r="O21" s="60">
        <f>(O19/O18)^(1/O20)-1</f>
        <v>0.021193512043941</v>
      </c>
      <c r="P21" s="55" t="s">
        <v>15</v>
      </c>
    </row>
    <row r="22" spans="14:16">
      <c r="N22" s="55" t="s">
        <v>11</v>
      </c>
      <c r="O22" s="54">
        <f>RATE(O20,,O18,-O19)</f>
        <v>0.0211935120459066</v>
      </c>
      <c r="P22" s="55" t="s">
        <v>15</v>
      </c>
    </row>
  </sheetData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I30"/>
  <sheetViews>
    <sheetView zoomScale="120" zoomScaleNormal="120" workbookViewId="0">
      <selection activeCell="H17" sqref="H17"/>
    </sheetView>
  </sheetViews>
  <sheetFormatPr defaultColWidth="9.14285714285714" defaultRowHeight="15"/>
  <cols>
    <col min="1" max="3" width="9.14285714285714" style="1"/>
    <col min="4" max="4" width="29.5714285714286" style="1" customWidth="1"/>
    <col min="5" max="5" width="25.8571428571429" style="1" customWidth="1"/>
    <col min="6" max="6" width="20.1428571428571" style="1" customWidth="1"/>
    <col min="7" max="7" width="24.1428571428571" style="1" customWidth="1"/>
    <col min="8" max="16384" width="9.14285714285714" style="1"/>
  </cols>
  <sheetData>
    <row r="4" ht="15.75"/>
    <row r="5" ht="30.75" customHeight="1" spans="4:7">
      <c r="D5" s="62" t="s">
        <v>16</v>
      </c>
      <c r="E5" s="62" t="s">
        <v>17</v>
      </c>
      <c r="F5" s="62" t="s">
        <v>18</v>
      </c>
      <c r="G5" s="62" t="s">
        <v>19</v>
      </c>
    </row>
    <row r="6" ht="23.25" spans="4:7">
      <c r="D6" s="77">
        <v>43678</v>
      </c>
      <c r="E6" s="78">
        <v>0.003715</v>
      </c>
      <c r="F6" s="39">
        <v>1</v>
      </c>
      <c r="G6" s="79">
        <f>F6+E6</f>
        <v>1.003715</v>
      </c>
    </row>
    <row r="7" ht="23.25" spans="4:7">
      <c r="D7" s="80">
        <v>43709</v>
      </c>
      <c r="E7" s="81">
        <v>0.003434</v>
      </c>
      <c r="F7" s="39">
        <v>1</v>
      </c>
      <c r="G7" s="79">
        <f>F7+E7</f>
        <v>1.003434</v>
      </c>
    </row>
    <row r="8" ht="23.25" spans="4:7">
      <c r="D8" s="80">
        <v>43739</v>
      </c>
      <c r="E8" s="81">
        <v>0.003434</v>
      </c>
      <c r="F8" s="39">
        <v>1</v>
      </c>
      <c r="G8" s="79">
        <f>F8+E8</f>
        <v>1.003434</v>
      </c>
    </row>
    <row r="9" ht="23.25" spans="4:7">
      <c r="D9" s="80">
        <v>43770</v>
      </c>
      <c r="E9" s="81">
        <v>0.003153</v>
      </c>
      <c r="F9" s="39">
        <v>1</v>
      </c>
      <c r="G9" s="79">
        <f t="shared" ref="G9:G10" si="0">F9+E9</f>
        <v>1.003153</v>
      </c>
    </row>
    <row r="10" ht="23.25" spans="4:7">
      <c r="D10" s="82">
        <v>43800</v>
      </c>
      <c r="E10" s="83">
        <v>0.002871</v>
      </c>
      <c r="F10" s="68">
        <v>1</v>
      </c>
      <c r="G10" s="84">
        <f t="shared" si="0"/>
        <v>1.002871</v>
      </c>
    </row>
    <row r="12" ht="24" customHeight="1" spans="5:9">
      <c r="E12" s="85" t="s">
        <v>20</v>
      </c>
      <c r="F12" s="85"/>
      <c r="G12" s="71">
        <f>PRODUCT(G6:G10)-1</f>
        <v>0.0167174761789373</v>
      </c>
      <c r="H12" s="86" t="s">
        <v>21</v>
      </c>
      <c r="I12" s="86"/>
    </row>
    <row r="13" ht="23.25" spans="5:9">
      <c r="E13" s="35"/>
      <c r="F13" s="87" t="s">
        <v>22</v>
      </c>
      <c r="G13" s="88">
        <f>5000*(1+G12)</f>
        <v>5083.58738089469</v>
      </c>
      <c r="H13" s="35"/>
      <c r="I13" s="35"/>
    </row>
    <row r="14" ht="15.75" spans="6:6">
      <c r="F14" s="89"/>
    </row>
    <row r="21" ht="15.75"/>
    <row r="22" ht="24" spans="4:7">
      <c r="D22" s="62" t="s">
        <v>16</v>
      </c>
      <c r="E22" s="62" t="s">
        <v>17</v>
      </c>
      <c r="F22" s="62" t="s">
        <v>18</v>
      </c>
      <c r="G22" s="62" t="s">
        <v>19</v>
      </c>
    </row>
    <row r="23" ht="23.25" spans="4:7">
      <c r="D23" s="90">
        <v>42278</v>
      </c>
      <c r="E23" s="91">
        <v>0.006799</v>
      </c>
      <c r="F23" s="39">
        <v>1</v>
      </c>
      <c r="G23" s="65">
        <f>F23+E23</f>
        <v>1.006799</v>
      </c>
    </row>
    <row r="24" ht="23.25" spans="4:7">
      <c r="D24" s="92">
        <v>42309</v>
      </c>
      <c r="E24" s="93">
        <v>0.006303</v>
      </c>
      <c r="F24" s="39">
        <v>1</v>
      </c>
      <c r="G24" s="65">
        <f t="shared" ref="G24:G27" si="1">F24+E24</f>
        <v>1.006303</v>
      </c>
    </row>
    <row r="25" ht="23.25" spans="4:7">
      <c r="D25" s="92">
        <v>42339</v>
      </c>
      <c r="E25" s="93">
        <v>0.007261</v>
      </c>
      <c r="F25" s="39">
        <v>1</v>
      </c>
      <c r="G25" s="65">
        <f t="shared" si="1"/>
        <v>1.007261</v>
      </c>
    </row>
    <row r="26" ht="23.25" spans="4:7">
      <c r="D26" s="92">
        <v>42370</v>
      </c>
      <c r="E26" s="93">
        <v>0.006327</v>
      </c>
      <c r="F26" s="39">
        <v>1</v>
      </c>
      <c r="G26" s="65">
        <f t="shared" si="1"/>
        <v>1.006327</v>
      </c>
    </row>
    <row r="27" ht="24" spans="4:7">
      <c r="D27" s="94">
        <v>42401</v>
      </c>
      <c r="E27" s="95">
        <v>0.005962</v>
      </c>
      <c r="F27" s="68">
        <v>1</v>
      </c>
      <c r="G27" s="69">
        <f t="shared" si="1"/>
        <v>1.005962</v>
      </c>
    </row>
    <row r="29" ht="23.25" spans="5:7">
      <c r="E29" s="85" t="s">
        <v>20</v>
      </c>
      <c r="F29" s="85"/>
      <c r="G29" s="71">
        <f>PRODUCT(G23:G27)-1</f>
        <v>0.0330807342598292</v>
      </c>
    </row>
    <row r="30" ht="23.25" spans="5:7">
      <c r="E30" s="35"/>
      <c r="F30" s="87" t="s">
        <v>23</v>
      </c>
      <c r="G30" s="88">
        <f>5000*(1+G29)</f>
        <v>5165.40367129915</v>
      </c>
    </row>
  </sheetData>
  <mergeCells count="3">
    <mergeCell ref="E12:F12"/>
    <mergeCell ref="H12:I12"/>
    <mergeCell ref="E29:F29"/>
  </mergeCell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38"/>
  <sheetViews>
    <sheetView zoomScale="110" zoomScaleNormal="110" workbookViewId="0">
      <selection activeCell="J36" sqref="J36"/>
    </sheetView>
  </sheetViews>
  <sheetFormatPr defaultColWidth="9.14285714285714" defaultRowHeight="15"/>
  <cols>
    <col min="1" max="3" width="9.14285714285714" style="1"/>
    <col min="4" max="4" width="18.8571428571429" style="1" customWidth="1"/>
    <col min="5" max="5" width="27.5714285714286" style="1" customWidth="1"/>
    <col min="6" max="6" width="18.4285714285714" style="1" customWidth="1"/>
    <col min="7" max="7" width="21" style="1" customWidth="1"/>
    <col min="8" max="16384" width="9.14285714285714" style="1"/>
  </cols>
  <sheetData>
    <row r="3" ht="15.75"/>
    <row r="4" ht="24" spans="4:7">
      <c r="D4" s="61" t="s">
        <v>16</v>
      </c>
      <c r="E4" s="61" t="s">
        <v>24</v>
      </c>
      <c r="F4" s="62" t="s">
        <v>18</v>
      </c>
      <c r="G4" s="62" t="s">
        <v>19</v>
      </c>
    </row>
    <row r="5" ht="23.25" spans="4:7">
      <c r="D5" s="63">
        <v>43800</v>
      </c>
      <c r="E5" s="64">
        <v>0.0115</v>
      </c>
      <c r="F5" s="39">
        <v>1</v>
      </c>
      <c r="G5" s="65">
        <f>F5+E5</f>
        <v>1.0115</v>
      </c>
    </row>
    <row r="6" ht="23.25" spans="4:7">
      <c r="D6" s="63">
        <v>43770</v>
      </c>
      <c r="E6" s="64">
        <v>0.0051</v>
      </c>
      <c r="F6" s="39">
        <v>1</v>
      </c>
      <c r="G6" s="65">
        <f t="shared" ref="G6:G16" si="0">F6+E6</f>
        <v>1.0051</v>
      </c>
    </row>
    <row r="7" ht="23.25" spans="4:16">
      <c r="D7" s="63">
        <v>43739</v>
      </c>
      <c r="E7" s="64">
        <v>0.001</v>
      </c>
      <c r="F7" s="39">
        <v>1</v>
      </c>
      <c r="G7" s="65">
        <f t="shared" si="0"/>
        <v>1.001</v>
      </c>
      <c r="P7"/>
    </row>
    <row r="8" ht="23.25" spans="4:7">
      <c r="D8" s="63">
        <v>43709</v>
      </c>
      <c r="E8" s="64">
        <v>-0.0004</v>
      </c>
      <c r="F8" s="39">
        <v>1</v>
      </c>
      <c r="G8" s="65">
        <f t="shared" si="0"/>
        <v>0.9996</v>
      </c>
    </row>
    <row r="9" ht="23.25" spans="4:7">
      <c r="D9" s="63">
        <v>43678</v>
      </c>
      <c r="E9" s="64">
        <v>0.0011</v>
      </c>
      <c r="F9" s="39">
        <v>1</v>
      </c>
      <c r="G9" s="65">
        <f t="shared" si="0"/>
        <v>1.0011</v>
      </c>
    </row>
    <row r="10" ht="23.25" spans="4:7">
      <c r="D10" s="63">
        <v>43647</v>
      </c>
      <c r="E10" s="64">
        <v>0.0019</v>
      </c>
      <c r="F10" s="39">
        <v>1</v>
      </c>
      <c r="G10" s="65">
        <f t="shared" si="0"/>
        <v>1.0019</v>
      </c>
    </row>
    <row r="11" ht="23.25" spans="4:14">
      <c r="D11" s="63">
        <v>43617</v>
      </c>
      <c r="E11" s="64">
        <v>0.0001</v>
      </c>
      <c r="F11" s="39">
        <v>1</v>
      </c>
      <c r="G11" s="65">
        <f t="shared" si="0"/>
        <v>1.0001</v>
      </c>
      <c r="N11"/>
    </row>
    <row r="12" ht="23.25" spans="4:7">
      <c r="D12" s="63">
        <v>43586</v>
      </c>
      <c r="E12" s="64">
        <v>0.0013</v>
      </c>
      <c r="F12" s="39">
        <v>1</v>
      </c>
      <c r="G12" s="65">
        <f t="shared" si="0"/>
        <v>1.0013</v>
      </c>
    </row>
    <row r="13" ht="23.25" spans="4:7">
      <c r="D13" s="63">
        <v>43556</v>
      </c>
      <c r="E13" s="64">
        <v>0.0057</v>
      </c>
      <c r="F13" s="39">
        <v>1</v>
      </c>
      <c r="G13" s="65">
        <f t="shared" si="0"/>
        <v>1.0057</v>
      </c>
    </row>
    <row r="14" ht="23.25" spans="4:7">
      <c r="D14" s="63">
        <v>43525</v>
      </c>
      <c r="E14" s="64">
        <v>0.0075</v>
      </c>
      <c r="F14" s="39">
        <v>1</v>
      </c>
      <c r="G14" s="65">
        <f t="shared" si="0"/>
        <v>1.0075</v>
      </c>
    </row>
    <row r="15" ht="23.25" spans="4:7">
      <c r="D15" s="63">
        <v>43497</v>
      </c>
      <c r="E15" s="64">
        <v>0.0043</v>
      </c>
      <c r="F15" s="39">
        <v>1</v>
      </c>
      <c r="G15" s="65">
        <f t="shared" si="0"/>
        <v>1.0043</v>
      </c>
    </row>
    <row r="16" ht="23.25" spans="4:7">
      <c r="D16" s="66">
        <v>43466</v>
      </c>
      <c r="E16" s="67">
        <v>0.0032</v>
      </c>
      <c r="F16" s="68">
        <v>1</v>
      </c>
      <c r="G16" s="69">
        <f t="shared" si="0"/>
        <v>1.0032</v>
      </c>
    </row>
    <row r="18" ht="23.25" spans="5:9">
      <c r="E18" s="70" t="s">
        <v>20</v>
      </c>
      <c r="F18" s="70"/>
      <c r="G18" s="71">
        <f>PRODUCT(G5:G16)-1</f>
        <v>0.0430603998411316</v>
      </c>
      <c r="H18" s="72" t="s">
        <v>13</v>
      </c>
      <c r="I18" s="72"/>
    </row>
    <row r="23" ht="15.75"/>
    <row r="24" ht="24" spans="4:7">
      <c r="D24" s="61" t="s">
        <v>16</v>
      </c>
      <c r="E24" s="61" t="s">
        <v>24</v>
      </c>
      <c r="F24" s="62" t="s">
        <v>18</v>
      </c>
      <c r="G24" s="62" t="s">
        <v>19</v>
      </c>
    </row>
    <row r="25" ht="23.25" spans="4:7">
      <c r="D25" s="73">
        <v>43070</v>
      </c>
      <c r="E25" s="74">
        <v>0.0044</v>
      </c>
      <c r="F25" s="39">
        <v>1</v>
      </c>
      <c r="G25" s="65">
        <f>F25+E25</f>
        <v>1.0044</v>
      </c>
    </row>
    <row r="26" ht="23.25" spans="4:7">
      <c r="D26" s="73">
        <v>43040</v>
      </c>
      <c r="E26" s="74">
        <v>0.0028</v>
      </c>
      <c r="F26" s="39">
        <v>1</v>
      </c>
      <c r="G26" s="65">
        <f t="shared" ref="G26:G36" si="1">F26+E26</f>
        <v>1.0028</v>
      </c>
    </row>
    <row r="27" ht="23.25" spans="4:7">
      <c r="D27" s="73">
        <v>43009</v>
      </c>
      <c r="E27" s="74">
        <v>0.0042</v>
      </c>
      <c r="F27" s="39">
        <v>1</v>
      </c>
      <c r="G27" s="65">
        <f t="shared" si="1"/>
        <v>1.0042</v>
      </c>
    </row>
    <row r="28" ht="23.25" spans="4:7">
      <c r="D28" s="73">
        <v>42979</v>
      </c>
      <c r="E28" s="74">
        <v>0.0016</v>
      </c>
      <c r="F28" s="39">
        <v>1</v>
      </c>
      <c r="G28" s="65">
        <f t="shared" si="1"/>
        <v>1.0016</v>
      </c>
    </row>
    <row r="29" ht="23.25" spans="4:7">
      <c r="D29" s="73">
        <v>42948</v>
      </c>
      <c r="E29" s="74">
        <v>0.0019</v>
      </c>
      <c r="F29" s="39">
        <v>1</v>
      </c>
      <c r="G29" s="65">
        <f t="shared" si="1"/>
        <v>1.0019</v>
      </c>
    </row>
    <row r="30" ht="23.25" spans="4:7">
      <c r="D30" s="73">
        <v>42917</v>
      </c>
      <c r="E30" s="74">
        <v>0.0024</v>
      </c>
      <c r="F30" s="39">
        <v>1</v>
      </c>
      <c r="G30" s="65">
        <f t="shared" si="1"/>
        <v>1.0024</v>
      </c>
    </row>
    <row r="31" ht="23.25" spans="4:7">
      <c r="D31" s="73">
        <v>42887</v>
      </c>
      <c r="E31" s="74">
        <v>-0.0023</v>
      </c>
      <c r="F31" s="39">
        <v>1</v>
      </c>
      <c r="G31" s="65">
        <f t="shared" si="1"/>
        <v>0.9977</v>
      </c>
    </row>
    <row r="32" ht="23.25" spans="4:7">
      <c r="D32" s="73">
        <v>42856</v>
      </c>
      <c r="E32" s="74">
        <v>0.0031</v>
      </c>
      <c r="F32" s="39">
        <v>1</v>
      </c>
      <c r="G32" s="65">
        <f t="shared" si="1"/>
        <v>1.0031</v>
      </c>
    </row>
    <row r="33" ht="23.25" spans="4:7">
      <c r="D33" s="73">
        <v>42826</v>
      </c>
      <c r="E33" s="74">
        <v>0.0014</v>
      </c>
      <c r="F33" s="39">
        <v>1</v>
      </c>
      <c r="G33" s="65">
        <f t="shared" si="1"/>
        <v>1.0014</v>
      </c>
    </row>
    <row r="34" ht="23.25" spans="4:7">
      <c r="D34" s="73">
        <v>42795</v>
      </c>
      <c r="E34" s="74">
        <v>0.0025</v>
      </c>
      <c r="F34" s="39">
        <v>1</v>
      </c>
      <c r="G34" s="65">
        <f t="shared" si="1"/>
        <v>1.0025</v>
      </c>
    </row>
    <row r="35" ht="23.25" spans="4:7">
      <c r="D35" s="73">
        <v>42767</v>
      </c>
      <c r="E35" s="74">
        <v>0.0033</v>
      </c>
      <c r="F35" s="39">
        <v>1</v>
      </c>
      <c r="G35" s="65">
        <f t="shared" si="1"/>
        <v>1.0033</v>
      </c>
    </row>
    <row r="36" ht="24" spans="4:7">
      <c r="D36" s="75">
        <v>42736</v>
      </c>
      <c r="E36" s="76">
        <v>0.0038</v>
      </c>
      <c r="F36" s="68">
        <v>1</v>
      </c>
      <c r="G36" s="69">
        <f t="shared" si="1"/>
        <v>1.0038</v>
      </c>
    </row>
    <row r="38" ht="23.25" spans="5:9">
      <c r="E38" s="70" t="s">
        <v>20</v>
      </c>
      <c r="F38" s="70"/>
      <c r="G38" s="71">
        <f>PRODUCT(G25:G36)-1</f>
        <v>0.0294734990834586</v>
      </c>
      <c r="H38" s="72" t="s">
        <v>13</v>
      </c>
      <c r="I38" s="72"/>
    </row>
  </sheetData>
  <mergeCells count="4">
    <mergeCell ref="E18:F18"/>
    <mergeCell ref="H18:I18"/>
    <mergeCell ref="E38:F38"/>
    <mergeCell ref="H38:I38"/>
  </mergeCells>
  <pageMargins left="0.511811024" right="0.511811024" top="0.787401575" bottom="0.787401575" header="0.31496062" footer="0.31496062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5:P23"/>
  <sheetViews>
    <sheetView zoomScale="90" zoomScaleNormal="90" workbookViewId="0">
      <selection activeCell="U7" sqref="U7"/>
    </sheetView>
  </sheetViews>
  <sheetFormatPr defaultColWidth="9.14285714285714" defaultRowHeight="28.5"/>
  <cols>
    <col min="1" max="12" width="9.14285714285714" style="1"/>
    <col min="13" max="14" width="9.14285714285714" style="55"/>
    <col min="15" max="15" width="19" style="55" customWidth="1"/>
    <col min="16" max="18" width="9.14285714285714" style="55"/>
    <col min="19" max="16384" width="9.14285714285714" style="1"/>
  </cols>
  <sheetData>
    <row r="5" spans="14:16">
      <c r="N5" s="55" t="s">
        <v>25</v>
      </c>
      <c r="O5" s="58">
        <v>0.01672</v>
      </c>
      <c r="P5" s="55" t="s">
        <v>21</v>
      </c>
    </row>
    <row r="6" spans="14:16">
      <c r="N6" s="55" t="s">
        <v>26</v>
      </c>
      <c r="O6" s="59">
        <f>(1+O5)^(1/5)-1</f>
        <v>0.00332185709738009</v>
      </c>
      <c r="P6" s="55" t="s">
        <v>3</v>
      </c>
    </row>
    <row r="10" spans="14:16">
      <c r="N10" s="55" t="s">
        <v>27</v>
      </c>
      <c r="O10" s="58">
        <v>0.04306</v>
      </c>
      <c r="P10" s="55" t="s">
        <v>13</v>
      </c>
    </row>
    <row r="11" spans="14:16">
      <c r="N11" s="55" t="s">
        <v>28</v>
      </c>
      <c r="O11" s="56">
        <f>(1+O10)^(1/12)-1</f>
        <v>0.00351940366951853</v>
      </c>
      <c r="P11" s="55" t="s">
        <v>3</v>
      </c>
    </row>
    <row r="16" spans="14:16">
      <c r="N16" s="55" t="s">
        <v>28</v>
      </c>
      <c r="O16" s="54">
        <v>0.1263</v>
      </c>
      <c r="P16" s="55" t="s">
        <v>3</v>
      </c>
    </row>
    <row r="17" spans="14:16">
      <c r="N17" s="55" t="s">
        <v>27</v>
      </c>
      <c r="O17" s="60">
        <f>(1+O16)^(12/1)-1</f>
        <v>3.16724476184133</v>
      </c>
      <c r="P17" s="55" t="s">
        <v>13</v>
      </c>
    </row>
    <row r="21" spans="15:15">
      <c r="O21" s="60"/>
    </row>
    <row r="22" spans="14:16">
      <c r="N22" s="55" t="s">
        <v>27</v>
      </c>
      <c r="O22" s="54">
        <v>1.656</v>
      </c>
      <c r="P22" s="55" t="s">
        <v>13</v>
      </c>
    </row>
    <row r="23" spans="14:16">
      <c r="N23" s="55" t="s">
        <v>28</v>
      </c>
      <c r="O23" s="56">
        <f>(1+O22)^(1/12)-1</f>
        <v>0.0848066510346188</v>
      </c>
      <c r="P23" s="55" t="s">
        <v>3</v>
      </c>
    </row>
  </sheetData>
  <pageMargins left="0.511811024" right="0.511811024" top="0.787401575" bottom="0.787401575" header="0.31496062" footer="0.31496062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7:T15"/>
  <sheetViews>
    <sheetView zoomScale="90" zoomScaleNormal="90" workbookViewId="0">
      <selection activeCell="R17" sqref="R17"/>
    </sheetView>
  </sheetViews>
  <sheetFormatPr defaultColWidth="9.14285714285714" defaultRowHeight="28.5"/>
  <cols>
    <col min="1" max="14" width="9.14285714285714" style="1"/>
    <col min="15" max="15" width="12.2857142857143" style="51" customWidth="1"/>
    <col min="16" max="16" width="21.7142857142857" style="52" customWidth="1"/>
    <col min="17" max="17" width="16.2857142857143" style="52" customWidth="1"/>
    <col min="18" max="18" width="9.14285714285714" style="52"/>
    <col min="19" max="19" width="17.4285714285714" style="52" customWidth="1"/>
    <col min="20" max="20" width="9.14285714285714" style="52"/>
    <col min="21" max="16384" width="9.14285714285714" style="1"/>
  </cols>
  <sheetData>
    <row r="7" spans="15:20">
      <c r="O7" s="53" t="s">
        <v>29</v>
      </c>
      <c r="P7" s="54">
        <v>0.0431</v>
      </c>
      <c r="Q7" s="55" t="s">
        <v>13</v>
      </c>
      <c r="R7" s="55"/>
      <c r="S7" s="55"/>
      <c r="T7" s="55"/>
    </row>
    <row r="8" ht="35.25" spans="15:20">
      <c r="O8" s="53" t="s">
        <v>30</v>
      </c>
      <c r="P8" s="54">
        <v>0.0434</v>
      </c>
      <c r="Q8" s="55" t="s">
        <v>13</v>
      </c>
      <c r="R8" s="55" t="s">
        <v>31</v>
      </c>
      <c r="S8" s="56">
        <f>(1+P8)/(1+$P$7)-1</f>
        <v>0.000287604256543172</v>
      </c>
      <c r="T8" s="55" t="s">
        <v>13</v>
      </c>
    </row>
    <row r="9" ht="35.25" spans="15:20">
      <c r="O9" s="53" t="s">
        <v>32</v>
      </c>
      <c r="P9" s="54">
        <v>0.0616</v>
      </c>
      <c r="Q9" s="55" t="s">
        <v>13</v>
      </c>
      <c r="R9" s="55" t="s">
        <v>31</v>
      </c>
      <c r="S9" s="56">
        <f t="shared" ref="S9:S10" si="0">(1+P9)/(1+$P$7)-1</f>
        <v>0.0177355958201517</v>
      </c>
      <c r="T9" s="55" t="s">
        <v>13</v>
      </c>
    </row>
    <row r="10" ht="35.25" spans="15:20">
      <c r="O10" s="53" t="s">
        <v>33</v>
      </c>
      <c r="P10" s="54">
        <v>0.3158</v>
      </c>
      <c r="Q10" s="55" t="s">
        <v>13</v>
      </c>
      <c r="R10" s="55" t="s">
        <v>31</v>
      </c>
      <c r="S10" s="56">
        <f t="shared" si="0"/>
        <v>0.261432269197584</v>
      </c>
      <c r="T10" s="55"/>
    </row>
    <row r="14" spans="15:20">
      <c r="O14" s="53" t="s">
        <v>29</v>
      </c>
      <c r="P14" s="54">
        <v>0.0975</v>
      </c>
      <c r="Q14" s="55"/>
      <c r="R14" s="55"/>
      <c r="S14" s="55"/>
      <c r="T14" s="55"/>
    </row>
    <row r="15" spans="15:20">
      <c r="O15" s="53" t="s">
        <v>11</v>
      </c>
      <c r="P15" s="54">
        <v>0.085</v>
      </c>
      <c r="Q15" s="55"/>
      <c r="R15" s="55" t="s">
        <v>31</v>
      </c>
      <c r="S15" s="57">
        <f>(1+P15)/(1+P14)-1</f>
        <v>-0.0113895216400911</v>
      </c>
      <c r="T15" s="55" t="s">
        <v>13</v>
      </c>
    </row>
  </sheetData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zoomScale="80" zoomScaleNormal="80" workbookViewId="0">
      <selection activeCell="E26" sqref="E26"/>
    </sheetView>
  </sheetViews>
  <sheetFormatPr defaultColWidth="9.14285714285714" defaultRowHeight="15"/>
  <cols>
    <col min="1" max="1" width="35.7142857142857" style="1" customWidth="1"/>
    <col min="2" max="2" width="26.5714285714286" style="1" customWidth="1"/>
    <col min="3" max="3" width="9" style="1" customWidth="1"/>
    <col min="4" max="4" width="14.1428571428571" style="1" customWidth="1"/>
    <col min="5" max="5" width="14.4285714285714" style="1" customWidth="1"/>
    <col min="6" max="6" width="26.7142857142857" style="1" customWidth="1"/>
    <col min="7" max="7" width="29.2857142857143" style="1" customWidth="1"/>
    <col min="8" max="9" width="26.5714285714286" style="1" customWidth="1"/>
    <col min="10" max="16384" width="9.14285714285714" style="1"/>
  </cols>
  <sheetData>
    <row r="1" ht="15.75"/>
    <row r="2" ht="15.75" hidden="1"/>
    <row r="3" ht="24" spans="6:9">
      <c r="F3" s="2" t="s">
        <v>7</v>
      </c>
      <c r="G3" s="3"/>
      <c r="H3" s="3"/>
      <c r="I3" s="48"/>
    </row>
    <row r="4" ht="47.25" spans="1:9">
      <c r="A4" s="4" t="s">
        <v>34</v>
      </c>
      <c r="B4" s="5" t="s">
        <v>17</v>
      </c>
      <c r="C4" s="6"/>
      <c r="D4" s="7" t="s">
        <v>35</v>
      </c>
      <c r="E4" s="8" t="s">
        <v>36</v>
      </c>
      <c r="F4" s="9" t="s">
        <v>10</v>
      </c>
      <c r="G4" s="4" t="s">
        <v>37</v>
      </c>
      <c r="H4" s="8" t="s">
        <v>38</v>
      </c>
      <c r="I4" s="4" t="s">
        <v>39</v>
      </c>
    </row>
    <row r="5" ht="24" spans="1:9">
      <c r="A5" s="10" t="s">
        <v>40</v>
      </c>
      <c r="B5" s="11">
        <v>0.0617</v>
      </c>
      <c r="C5" s="12" t="s">
        <v>13</v>
      </c>
      <c r="D5" s="4" t="s">
        <v>41</v>
      </c>
      <c r="E5" s="12" t="s">
        <v>42</v>
      </c>
      <c r="F5" s="13">
        <f>$B$10*(1+B5*5)</f>
        <v>261700</v>
      </c>
      <c r="G5" s="14">
        <f>F5-$B$10</f>
        <v>61700</v>
      </c>
      <c r="H5" s="15">
        <v>0</v>
      </c>
      <c r="I5" s="14">
        <f>F5-H5</f>
        <v>261700</v>
      </c>
    </row>
    <row r="6" ht="24" spans="1:9">
      <c r="A6" s="16" t="s">
        <v>43</v>
      </c>
      <c r="B6" s="17">
        <v>0.1192</v>
      </c>
      <c r="C6" s="18" t="s">
        <v>13</v>
      </c>
      <c r="D6" s="19" t="s">
        <v>41</v>
      </c>
      <c r="E6" s="20" t="s">
        <v>42</v>
      </c>
      <c r="F6" s="21">
        <f t="shared" ref="F6:F8" si="0">$B$10*(1+B6*5)</f>
        <v>319200</v>
      </c>
      <c r="G6" s="22">
        <f t="shared" ref="G6:G8" si="1">F6-$B$10</f>
        <v>119200</v>
      </c>
      <c r="H6" s="23">
        <v>0</v>
      </c>
      <c r="I6" s="49">
        <f t="shared" ref="I6:I8" si="2">F6-H6</f>
        <v>319200</v>
      </c>
    </row>
    <row r="7" ht="24" spans="1:9">
      <c r="A7" s="16" t="s">
        <v>44</v>
      </c>
      <c r="B7" s="17">
        <v>0.1325</v>
      </c>
      <c r="C7" s="18" t="s">
        <v>13</v>
      </c>
      <c r="D7" s="24">
        <v>0.15</v>
      </c>
      <c r="E7" s="20" t="s">
        <v>42</v>
      </c>
      <c r="F7" s="21">
        <f t="shared" si="0"/>
        <v>332500</v>
      </c>
      <c r="G7" s="22">
        <f t="shared" si="1"/>
        <v>132500</v>
      </c>
      <c r="H7" s="23">
        <f>D7*G7</f>
        <v>19875</v>
      </c>
      <c r="I7" s="22">
        <f t="shared" si="2"/>
        <v>312625</v>
      </c>
    </row>
    <row r="8" ht="24" spans="1:9">
      <c r="A8" s="25" t="s">
        <v>45</v>
      </c>
      <c r="B8" s="26">
        <v>0.1375</v>
      </c>
      <c r="C8" s="27" t="s">
        <v>13</v>
      </c>
      <c r="D8" s="28">
        <v>0.15</v>
      </c>
      <c r="E8" s="29">
        <v>0.01</v>
      </c>
      <c r="F8" s="30">
        <f t="shared" si="0"/>
        <v>337500</v>
      </c>
      <c r="G8" s="31">
        <f t="shared" si="1"/>
        <v>137500</v>
      </c>
      <c r="H8" s="32">
        <f>(D8+E8)*G8</f>
        <v>22000</v>
      </c>
      <c r="I8" s="31">
        <f t="shared" si="2"/>
        <v>315500</v>
      </c>
    </row>
    <row r="9" ht="15.75"/>
    <row r="10" ht="24" spans="1:5">
      <c r="A10" s="7" t="s">
        <v>46</v>
      </c>
      <c r="B10" s="33">
        <v>200000</v>
      </c>
      <c r="C10" s="34"/>
      <c r="D10" s="35"/>
      <c r="E10" s="35"/>
    </row>
    <row r="11" ht="24" spans="1:5">
      <c r="A11" s="5" t="s">
        <v>47</v>
      </c>
      <c r="B11" s="36" t="s">
        <v>48</v>
      </c>
      <c r="C11" s="37"/>
      <c r="D11" s="38"/>
      <c r="E11" s="38"/>
    </row>
    <row r="12" ht="24" spans="1:5">
      <c r="A12" s="18"/>
      <c r="B12" s="39"/>
      <c r="C12" s="39"/>
      <c r="D12" s="38"/>
      <c r="E12" s="38"/>
    </row>
    <row r="13" ht="24" spans="6:9">
      <c r="F13" s="2" t="s">
        <v>8</v>
      </c>
      <c r="G13" s="3"/>
      <c r="H13" s="3"/>
      <c r="I13" s="48"/>
    </row>
    <row r="14" ht="47.25" spans="1:9">
      <c r="A14" s="4" t="s">
        <v>34</v>
      </c>
      <c r="B14" s="5" t="s">
        <v>17</v>
      </c>
      <c r="C14" s="6"/>
      <c r="D14" s="7" t="s">
        <v>35</v>
      </c>
      <c r="E14" s="8" t="s">
        <v>36</v>
      </c>
      <c r="F14" s="5" t="s">
        <v>10</v>
      </c>
      <c r="G14" s="7" t="s">
        <v>37</v>
      </c>
      <c r="H14" s="6" t="s">
        <v>38</v>
      </c>
      <c r="I14" s="7" t="s">
        <v>39</v>
      </c>
    </row>
    <row r="15" ht="24" spans="1:9">
      <c r="A15" s="10" t="s">
        <v>40</v>
      </c>
      <c r="B15" s="11">
        <v>0.0617</v>
      </c>
      <c r="C15" s="12" t="s">
        <v>13</v>
      </c>
      <c r="D15" s="4" t="s">
        <v>41</v>
      </c>
      <c r="E15" s="8" t="s">
        <v>42</v>
      </c>
      <c r="F15" s="40">
        <f>$B$10*(1+B15)^5</f>
        <v>269798.22147383</v>
      </c>
      <c r="G15" s="40">
        <f>F15-$B$10</f>
        <v>69798.2214738298</v>
      </c>
      <c r="H15" s="41">
        <v>0</v>
      </c>
      <c r="I15" s="40">
        <f>F15-H15</f>
        <v>269798.22147383</v>
      </c>
    </row>
    <row r="16" ht="24" spans="1:9">
      <c r="A16" s="16" t="s">
        <v>43</v>
      </c>
      <c r="B16" s="17">
        <v>0.1192</v>
      </c>
      <c r="C16" s="18" t="s">
        <v>13</v>
      </c>
      <c r="D16" s="19" t="s">
        <v>41</v>
      </c>
      <c r="E16" s="42" t="s">
        <v>42</v>
      </c>
      <c r="F16" s="40">
        <f t="shared" ref="F16:F18" si="3">$B$10*(1+B16)^5</f>
        <v>351211.318175793</v>
      </c>
      <c r="G16" s="40">
        <f t="shared" ref="G16:G18" si="4">F16-$B$10</f>
        <v>151211.318175793</v>
      </c>
      <c r="H16" s="41">
        <v>0</v>
      </c>
      <c r="I16" s="40">
        <f t="shared" ref="I16:I18" si="5">F16-H16</f>
        <v>351211.318175793</v>
      </c>
    </row>
    <row r="17" ht="24" spans="1:9">
      <c r="A17" s="16" t="s">
        <v>44</v>
      </c>
      <c r="B17" s="17">
        <v>0.1325</v>
      </c>
      <c r="C17" s="18" t="s">
        <v>13</v>
      </c>
      <c r="D17" s="24">
        <v>0.15</v>
      </c>
      <c r="E17" s="42" t="s">
        <v>42</v>
      </c>
      <c r="F17" s="40">
        <f t="shared" si="3"/>
        <v>372581.296044785</v>
      </c>
      <c r="G17" s="40">
        <f t="shared" si="4"/>
        <v>172581.296044785</v>
      </c>
      <c r="H17" s="43">
        <f>D17*G17</f>
        <v>25887.1944067178</v>
      </c>
      <c r="I17" s="40">
        <f t="shared" si="5"/>
        <v>346694.101638068</v>
      </c>
    </row>
    <row r="18" ht="24" spans="1:9">
      <c r="A18" s="25" t="s">
        <v>45</v>
      </c>
      <c r="B18" s="26">
        <v>0.1375</v>
      </c>
      <c r="C18" s="27" t="s">
        <v>13</v>
      </c>
      <c r="D18" s="28">
        <v>0.15</v>
      </c>
      <c r="E18" s="44">
        <v>0.01</v>
      </c>
      <c r="F18" s="45">
        <f t="shared" si="3"/>
        <v>380878.994812012</v>
      </c>
      <c r="G18" s="45">
        <f t="shared" si="4"/>
        <v>180878.994812012</v>
      </c>
      <c r="H18" s="22">
        <f>(D18+E18)*G18</f>
        <v>28940.6391699219</v>
      </c>
      <c r="I18" s="50">
        <f t="shared" si="5"/>
        <v>351938.35564209</v>
      </c>
    </row>
    <row r="21" spans="2:2">
      <c r="B21" s="46"/>
    </row>
    <row r="22" spans="2:2">
      <c r="B22" s="47"/>
    </row>
  </sheetData>
  <mergeCells count="4">
    <mergeCell ref="F3:I3"/>
    <mergeCell ref="B4:C4"/>
    <mergeCell ref="F13:I13"/>
    <mergeCell ref="B14:C14"/>
  </mergeCells>
  <pageMargins left="0.511811024" right="0.511811024" top="0.787401575" bottom="0.787401575" header="0.31496062" footer="0.3149606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 3</vt:lpstr>
      <vt:lpstr>Ex 4 -6</vt:lpstr>
      <vt:lpstr>Ex 7</vt:lpstr>
      <vt:lpstr>EX 8</vt:lpstr>
      <vt:lpstr>EX 9</vt:lpstr>
      <vt:lpstr>Ex 10</vt:lpstr>
      <vt:lpstr>Aula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pehen</cp:lastModifiedBy>
  <dcterms:created xsi:type="dcterms:W3CDTF">2017-02-22T18:41:00Z</dcterms:created>
  <dcterms:modified xsi:type="dcterms:W3CDTF">2025-07-03T13:23:31Z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2B30BA571DFE4BB5BBBF3C6910D1FDCF_12</vt:lpwstr>
  </property>
  <property fmtid="{D5CDD505-2E9C-101B-9397-08002B2CF9AE}" pid="3" name="KSOProductBuildVer">
    <vt:lpwstr>1046-12.2.0.21546</vt:lpwstr>
  </property>
</Properties>
</file>