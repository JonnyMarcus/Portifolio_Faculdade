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20"/>
  </bookViews>
  <sheets>
    <sheet name="Página1" sheetId="1" r:id="rId1"/>
    <sheet name="Págin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<sst xmlns="http://schemas.openxmlformats.org/spreadsheetml/2006/main" count="94" uniqueCount="38">
  <si>
    <t>Análise de Sensibilidade</t>
  </si>
  <si>
    <t>Dados</t>
  </si>
  <si>
    <t>Esperado</t>
  </si>
  <si>
    <t>Investimento ($)</t>
  </si>
  <si>
    <t>Preço de Venda ($/un)</t>
  </si>
  <si>
    <t>Quantidade Vendida (un)</t>
  </si>
  <si>
    <t>Custo Fixo ($)</t>
  </si>
  <si>
    <t>Custo Variável ($/un)</t>
  </si>
  <si>
    <t>Valor Residual</t>
  </si>
  <si>
    <t>VPL</t>
  </si>
  <si>
    <t>TMA</t>
  </si>
  <si>
    <t>Vida</t>
  </si>
  <si>
    <t>Depreciação</t>
  </si>
  <si>
    <t>Investimento</t>
  </si>
  <si>
    <t>Coeficiente de Depreciação</t>
  </si>
  <si>
    <t>Depreciação com Terreno</t>
  </si>
  <si>
    <t>Valor Terreno</t>
  </si>
  <si>
    <t>Valor Depreciável</t>
  </si>
  <si>
    <t>Sistema Price</t>
  </si>
  <si>
    <t>Período</t>
  </si>
  <si>
    <t>Saldo Devedor</t>
  </si>
  <si>
    <t>Prestação</t>
  </si>
  <si>
    <t>Amortização</t>
  </si>
  <si>
    <t>Juros</t>
  </si>
  <si>
    <t>Valor do Investimento</t>
  </si>
  <si>
    <t>Taxa de Juros</t>
  </si>
  <si>
    <t>Carência</t>
  </si>
  <si>
    <t>Tempo</t>
  </si>
  <si>
    <t>Data</t>
  </si>
  <si>
    <t>FCAIR</t>
  </si>
  <si>
    <t>Valor Contabil</t>
  </si>
  <si>
    <t>Lucro Tributavel</t>
  </si>
  <si>
    <t>IR</t>
  </si>
  <si>
    <t>FCDIR</t>
  </si>
  <si>
    <t>Receita/ano</t>
  </si>
  <si>
    <t>Tempo de vida</t>
  </si>
  <si>
    <t>Preço de venda</t>
  </si>
  <si>
    <t>Taxa 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</si>
</sst>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[$R$ -416]#,##0.00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8"/>
      <color rgb="FF000000"/>
      <name val="Arial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9FBFD"/>
        <bgColor rgb="FFF9FBF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0" xfId="0" applyFont="1" applyAlignment="1"/>
    <xf numFmtId="180" fontId="1" fillId="0" borderId="0" xfId="0" applyNumberFormat="1" applyFont="1" applyAlignment="1"/>
    <xf numFmtId="180" fontId="1" fillId="0" borderId="0" xfId="0" applyNumberFormat="1" applyFont="1"/>
    <xf numFmtId="9" fontId="1" fillId="0" borderId="0" xfId="0" applyNumberFormat="1" applyFont="1" applyAlignment="1"/>
    <xf numFmtId="10" fontId="1" fillId="0" borderId="0" xfId="0" applyNumberFormat="1" applyFont="1"/>
    <xf numFmtId="0" fontId="2" fillId="0" borderId="0" xfId="0" applyFont="1" applyAlignme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0" xfId="0" applyFont="1"/>
    <xf numFmtId="0" fontId="3" fillId="2" borderId="3" xfId="0" applyFont="1" applyFill="1" applyBorder="1" applyAlignment="1">
      <alignment horizontal="center"/>
    </xf>
    <xf numFmtId="180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9" fontId="3" fillId="2" borderId="4" xfId="0" applyNumberFormat="1" applyFont="1" applyFill="1" applyBorder="1" applyAlignment="1">
      <alignment horizontal="center"/>
    </xf>
    <xf numFmtId="10" fontId="1" fillId="0" borderId="0" xfId="0" applyNumberFormat="1" applyFont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50"/>
  <sheetViews>
    <sheetView tabSelected="1" zoomScale="85" zoomScaleNormal="85" topLeftCell="A13" workbookViewId="0">
      <selection activeCell="A29" sqref="A29"/>
    </sheetView>
  </sheetViews>
  <sheetFormatPr defaultColWidth="12.6285714285714" defaultRowHeight="15.75" customHeight="1"/>
  <cols>
    <col min="1" max="1" width="28.4285714285714" customWidth="1"/>
    <col min="2" max="2" width="17.2857142857143" customWidth="1"/>
    <col min="4" max="4" width="15.7142857142857" customWidth="1"/>
    <col min="5" max="5" width="14"/>
    <col min="6" max="6" width="11.8761904761905" customWidth="1"/>
    <col min="7" max="7" width="28.4285714285714" customWidth="1"/>
    <col min="8" max="8" width="17.2857142857143" customWidth="1"/>
    <col min="9" max="9" width="14"/>
    <col min="11" max="11" width="25.8571428571429" customWidth="1"/>
    <col min="12" max="12" width="15.7142857142857" customWidth="1"/>
    <col min="14" max="14" width="15.7142857142857" customWidth="1"/>
    <col min="15" max="15" width="14"/>
    <col min="16" max="16" width="16.5714285714286" customWidth="1"/>
    <col min="17" max="17" width="15.7142857142857" customWidth="1"/>
    <col min="18" max="18" width="14" customWidth="1"/>
    <col min="19" max="19" width="15.7142857142857" customWidth="1"/>
    <col min="21" max="21" width="14"/>
    <col min="24" max="24" width="14"/>
    <col min="25" max="26" width="12.8571428571429"/>
    <col min="27" max="27" width="14"/>
  </cols>
  <sheetData>
    <row r="1" ht="23.25" spans="1:1">
      <c r="A1" s="6" t="s">
        <v>0</v>
      </c>
    </row>
    <row r="3" customHeight="1" spans="1:11">
      <c r="A3" s="7" t="s">
        <v>1</v>
      </c>
      <c r="B3" s="8" t="s">
        <v>2</v>
      </c>
      <c r="D3" s="1">
        <v>0</v>
      </c>
      <c r="E3" s="9">
        <v>-602588.766449168</v>
      </c>
      <c r="G3" s="7" t="s">
        <v>1</v>
      </c>
      <c r="H3" s="8" t="s">
        <v>2</v>
      </c>
      <c r="J3" s="1">
        <v>0</v>
      </c>
      <c r="K3" s="3">
        <f>-H4</f>
        <v>-950000</v>
      </c>
    </row>
    <row r="4" customHeight="1" spans="1:11">
      <c r="A4" s="10" t="s">
        <v>3</v>
      </c>
      <c r="B4" s="11">
        <v>500000</v>
      </c>
      <c r="D4" s="1">
        <v>1</v>
      </c>
      <c r="E4" s="3">
        <f t="shared" ref="E4:E10" si="0">$B$5*$B$6-$B$7-$B$8*$B$6</f>
        <v>110350</v>
      </c>
      <c r="G4" s="10" t="s">
        <v>3</v>
      </c>
      <c r="H4" s="11">
        <v>950000</v>
      </c>
      <c r="J4" s="1">
        <v>1</v>
      </c>
      <c r="K4" s="3">
        <f t="shared" ref="K4:K7" si="1">($H$5*$H$6)-$H$7-($H$8*$H$6)</f>
        <v>275206.533701581</v>
      </c>
    </row>
    <row r="5" customHeight="1" spans="1:11">
      <c r="A5" s="10" t="s">
        <v>4</v>
      </c>
      <c r="B5" s="11">
        <v>24</v>
      </c>
      <c r="D5" s="1">
        <v>2</v>
      </c>
      <c r="E5" s="3">
        <f t="shared" si="0"/>
        <v>110350</v>
      </c>
      <c r="G5" s="10" t="s">
        <v>4</v>
      </c>
      <c r="H5" s="11">
        <v>245</v>
      </c>
      <c r="J5" s="1">
        <v>2</v>
      </c>
      <c r="K5" s="3">
        <f t="shared" si="1"/>
        <v>275206.533701581</v>
      </c>
    </row>
    <row r="6" customHeight="1" spans="1:11">
      <c r="A6" s="10" t="s">
        <v>5</v>
      </c>
      <c r="B6" s="12">
        <v>10200</v>
      </c>
      <c r="D6" s="1">
        <v>3</v>
      </c>
      <c r="E6" s="3">
        <f t="shared" si="0"/>
        <v>110350</v>
      </c>
      <c r="G6" s="10" t="s">
        <v>5</v>
      </c>
      <c r="H6" s="12">
        <v>1982.54083563488</v>
      </c>
      <c r="J6" s="1">
        <v>3</v>
      </c>
      <c r="K6" s="3">
        <f t="shared" si="1"/>
        <v>275206.533701581</v>
      </c>
    </row>
    <row r="7" customHeight="1" spans="1:11">
      <c r="A7" s="10" t="s">
        <v>6</v>
      </c>
      <c r="B7" s="11">
        <v>35000</v>
      </c>
      <c r="D7" s="1">
        <v>4</v>
      </c>
      <c r="E7" s="3">
        <f t="shared" si="0"/>
        <v>110350</v>
      </c>
      <c r="G7" s="10" t="s">
        <v>6</v>
      </c>
      <c r="H7" s="11">
        <v>42000</v>
      </c>
      <c r="J7" s="1">
        <v>4</v>
      </c>
      <c r="K7" s="3">
        <f t="shared" si="1"/>
        <v>275206.533701581</v>
      </c>
    </row>
    <row r="8" customHeight="1" spans="1:11">
      <c r="A8" s="10" t="s">
        <v>7</v>
      </c>
      <c r="B8" s="11">
        <v>9.75</v>
      </c>
      <c r="D8" s="1">
        <v>5</v>
      </c>
      <c r="E8" s="3">
        <f t="shared" si="0"/>
        <v>110350</v>
      </c>
      <c r="G8" s="10" t="s">
        <v>7</v>
      </c>
      <c r="H8" s="11">
        <v>85</v>
      </c>
      <c r="J8" s="1">
        <v>5</v>
      </c>
      <c r="K8" s="3">
        <f>($H$5*$H$6)-$H$7-($H$8*$H$6)+H9</f>
        <v>285206.533701581</v>
      </c>
    </row>
    <row r="9" customHeight="1" spans="1:11">
      <c r="A9" s="10" t="s">
        <v>8</v>
      </c>
      <c r="B9" s="11">
        <v>80000</v>
      </c>
      <c r="D9" s="1">
        <v>6</v>
      </c>
      <c r="E9" s="3">
        <f t="shared" si="0"/>
        <v>110350</v>
      </c>
      <c r="G9" s="10" t="s">
        <v>8</v>
      </c>
      <c r="H9" s="11">
        <v>10000</v>
      </c>
      <c r="J9" s="1" t="s">
        <v>9</v>
      </c>
      <c r="K9" s="3">
        <f t="array" ref="K9">NPV(H10,K4:K8)+K3</f>
        <v>0</v>
      </c>
    </row>
    <row r="10" customHeight="1" spans="1:8">
      <c r="A10" s="10" t="s">
        <v>10</v>
      </c>
      <c r="B10" s="13">
        <v>0.11</v>
      </c>
      <c r="D10" s="1">
        <v>7</v>
      </c>
      <c r="E10" s="3">
        <f t="shared" si="0"/>
        <v>110350</v>
      </c>
      <c r="G10" s="10" t="s">
        <v>10</v>
      </c>
      <c r="H10" s="13">
        <v>0.14</v>
      </c>
    </row>
    <row r="11" customHeight="1" spans="1:8">
      <c r="A11" s="10" t="s">
        <v>11</v>
      </c>
      <c r="B11" s="12">
        <v>8</v>
      </c>
      <c r="D11" s="1">
        <v>8</v>
      </c>
      <c r="E11" s="3">
        <f>$B$5*$B$6-$B$7-$B$8*$B$6+B9</f>
        <v>190350</v>
      </c>
      <c r="G11" s="10" t="s">
        <v>11</v>
      </c>
      <c r="H11" s="12">
        <v>5</v>
      </c>
    </row>
    <row r="12" customHeight="1" spans="4:5">
      <c r="D12" s="1" t="s">
        <v>9</v>
      </c>
      <c r="E12" s="3">
        <f t="array" ref="E12">NPV(B10,E4:E11)+E3</f>
        <v>-7.70229380577803e-5</v>
      </c>
    </row>
    <row r="14" ht="23.25" spans="1:1">
      <c r="A14" s="6" t="s">
        <v>12</v>
      </c>
    </row>
    <row r="15" customHeight="1" spans="1:14">
      <c r="A15" s="1"/>
      <c r="B15" s="2"/>
      <c r="D15" s="3"/>
      <c r="F15" s="1"/>
      <c r="G15" s="2"/>
      <c r="I15" s="3"/>
      <c r="K15" s="1"/>
      <c r="L15" s="2"/>
      <c r="N15" s="3"/>
    </row>
    <row r="16" customHeight="1" spans="1:14">
      <c r="A16" s="1" t="s">
        <v>13</v>
      </c>
      <c r="B16" s="2">
        <v>745000</v>
      </c>
      <c r="D16" s="3">
        <f>B16*B19</f>
        <v>149000</v>
      </c>
      <c r="F16" s="1" t="s">
        <v>13</v>
      </c>
      <c r="G16" s="2">
        <v>230000</v>
      </c>
      <c r="I16" s="3">
        <f>G16*G19</f>
        <v>34500</v>
      </c>
      <c r="K16" s="1" t="s">
        <v>13</v>
      </c>
      <c r="L16" s="2">
        <v>680000</v>
      </c>
      <c r="N16" s="3">
        <f>L16*L19</f>
        <v>102000</v>
      </c>
    </row>
    <row r="17" customHeight="1" spans="1:14">
      <c r="A17" s="1" t="s">
        <v>12</v>
      </c>
      <c r="B17" s="4">
        <v>0.1</v>
      </c>
      <c r="D17" s="3">
        <f>D16*3</f>
        <v>447000</v>
      </c>
      <c r="F17" s="1" t="s">
        <v>12</v>
      </c>
      <c r="G17" s="4">
        <v>0.1</v>
      </c>
      <c r="I17" s="3">
        <f>I16*5</f>
        <v>172500</v>
      </c>
      <c r="K17" s="1" t="s">
        <v>12</v>
      </c>
      <c r="L17" s="4">
        <v>0.1</v>
      </c>
      <c r="N17" s="3">
        <f>N16*5</f>
        <v>510000</v>
      </c>
    </row>
    <row r="18" customHeight="1" spans="1:14">
      <c r="A18" s="1" t="s">
        <v>14</v>
      </c>
      <c r="B18" s="1">
        <v>2</v>
      </c>
      <c r="D18" s="3">
        <f>B16-D17</f>
        <v>298000</v>
      </c>
      <c r="F18" s="1" t="s">
        <v>14</v>
      </c>
      <c r="G18" s="1">
        <v>1.5</v>
      </c>
      <c r="I18" s="3">
        <f>G16-I17</f>
        <v>57500</v>
      </c>
      <c r="K18" s="1" t="s">
        <v>14</v>
      </c>
      <c r="L18" s="1">
        <v>1.5</v>
      </c>
      <c r="N18" s="3">
        <f>L16-N17</f>
        <v>170000</v>
      </c>
    </row>
    <row r="19" customHeight="1" spans="1:12">
      <c r="A19" s="1" t="s">
        <v>12</v>
      </c>
      <c r="B19" s="5">
        <f>B17*B18</f>
        <v>0.2</v>
      </c>
      <c r="F19" s="1" t="s">
        <v>12</v>
      </c>
      <c r="G19" s="14">
        <f>G17*G18</f>
        <v>0.15</v>
      </c>
      <c r="K19" s="1" t="s">
        <v>12</v>
      </c>
      <c r="L19" s="14">
        <f>L17*L18</f>
        <v>0.15</v>
      </c>
    </row>
    <row r="21" ht="23.25" spans="1:1">
      <c r="A21" s="6" t="s">
        <v>15</v>
      </c>
    </row>
    <row r="22" customHeight="1" spans="1:19">
      <c r="A22" s="1"/>
      <c r="B22" s="2"/>
      <c r="D22" s="3"/>
      <c r="F22" s="1"/>
      <c r="G22" s="2"/>
      <c r="I22" s="3"/>
      <c r="K22" s="1"/>
      <c r="L22" s="2"/>
      <c r="N22" s="3"/>
      <c r="P22" s="1"/>
      <c r="Q22" s="2"/>
      <c r="S22" s="3"/>
    </row>
    <row r="23" customHeight="1" spans="1:19">
      <c r="A23" s="1" t="s">
        <v>13</v>
      </c>
      <c r="B23" s="2">
        <v>2200000</v>
      </c>
      <c r="D23" s="3">
        <f>B26*B25</f>
        <v>72000</v>
      </c>
      <c r="F23" s="1" t="s">
        <v>13</v>
      </c>
      <c r="G23" s="2">
        <v>1500000</v>
      </c>
      <c r="I23" s="3">
        <f>G26*G25</f>
        <v>50000</v>
      </c>
      <c r="K23" s="1" t="s">
        <v>13</v>
      </c>
      <c r="L23" s="2">
        <v>5200000</v>
      </c>
      <c r="N23" s="3">
        <f>L26*L25</f>
        <v>150000</v>
      </c>
      <c r="P23" s="1" t="s">
        <v>13</v>
      </c>
      <c r="Q23" s="2">
        <v>9250000</v>
      </c>
      <c r="S23" s="3">
        <f>Q26*Q25</f>
        <v>272000</v>
      </c>
    </row>
    <row r="24" customHeight="1" spans="1:19">
      <c r="A24" s="1" t="s">
        <v>16</v>
      </c>
      <c r="B24" s="2">
        <v>400000</v>
      </c>
      <c r="D24" s="3">
        <f>D23*18</f>
        <v>1296000</v>
      </c>
      <c r="F24" s="1" t="s">
        <v>16</v>
      </c>
      <c r="G24" s="2">
        <v>250000</v>
      </c>
      <c r="I24" s="3">
        <f>I23*15</f>
        <v>750000</v>
      </c>
      <c r="K24" s="1" t="s">
        <v>16</v>
      </c>
      <c r="L24" s="2">
        <v>1450000</v>
      </c>
      <c r="N24" s="3">
        <f>N23*17</f>
        <v>2550000</v>
      </c>
      <c r="P24" s="1" t="s">
        <v>16</v>
      </c>
      <c r="Q24" s="2">
        <v>2450000</v>
      </c>
      <c r="S24" s="3">
        <f>S23*10</f>
        <v>2720000</v>
      </c>
    </row>
    <row r="25" customHeight="1" spans="1:19">
      <c r="A25" s="1" t="s">
        <v>12</v>
      </c>
      <c r="B25" s="4">
        <v>0.04</v>
      </c>
      <c r="D25" s="3">
        <f>B23-D24</f>
        <v>904000</v>
      </c>
      <c r="F25" s="1" t="s">
        <v>12</v>
      </c>
      <c r="G25" s="4">
        <v>0.04</v>
      </c>
      <c r="I25" s="3">
        <f>G23-I24</f>
        <v>750000</v>
      </c>
      <c r="K25" s="1" t="s">
        <v>12</v>
      </c>
      <c r="L25" s="4">
        <v>0.04</v>
      </c>
      <c r="N25" s="3">
        <f>L23-N24</f>
        <v>2650000</v>
      </c>
      <c r="P25" s="1" t="s">
        <v>12</v>
      </c>
      <c r="Q25" s="4">
        <v>0.04</v>
      </c>
      <c r="S25" s="3">
        <f>Q23-S24</f>
        <v>6530000</v>
      </c>
    </row>
    <row r="26" customHeight="1" spans="1:17">
      <c r="A26" s="1" t="s">
        <v>17</v>
      </c>
      <c r="B26" s="3">
        <f>B23-B24</f>
        <v>1800000</v>
      </c>
      <c r="F26" s="1" t="s">
        <v>17</v>
      </c>
      <c r="G26" s="3">
        <f>G23-G24</f>
        <v>1250000</v>
      </c>
      <c r="K26" s="1" t="s">
        <v>17</v>
      </c>
      <c r="L26" s="3">
        <f>L23-L24</f>
        <v>3750000</v>
      </c>
      <c r="P26" s="1" t="s">
        <v>17</v>
      </c>
      <c r="Q26" s="3">
        <f>Q23-Q24</f>
        <v>6800000</v>
      </c>
    </row>
    <row r="28" ht="23.25" spans="1:1">
      <c r="A28" s="6" t="s">
        <v>18</v>
      </c>
    </row>
    <row r="29" customHeight="1" spans="4:27">
      <c r="D29" s="1"/>
      <c r="E29" s="1"/>
      <c r="F29" s="1"/>
      <c r="G29" s="1"/>
      <c r="H29" s="1"/>
      <c r="N29" s="1"/>
      <c r="O29" s="1"/>
      <c r="P29" s="1"/>
      <c r="Q29" s="1"/>
      <c r="R29" s="1"/>
      <c r="W29" s="1"/>
      <c r="X29" s="1"/>
      <c r="Y29" s="1"/>
      <c r="Z29" s="1"/>
      <c r="AA29" s="1"/>
    </row>
    <row r="30" customHeight="1" spans="4:27">
      <c r="D30" s="1" t="s">
        <v>19</v>
      </c>
      <c r="E30" s="1" t="s">
        <v>20</v>
      </c>
      <c r="F30" s="1" t="s">
        <v>21</v>
      </c>
      <c r="G30" s="1" t="s">
        <v>22</v>
      </c>
      <c r="H30" s="1" t="s">
        <v>23</v>
      </c>
      <c r="N30" s="1" t="s">
        <v>19</v>
      </c>
      <c r="O30" s="1" t="s">
        <v>20</v>
      </c>
      <c r="P30" s="1" t="s">
        <v>21</v>
      </c>
      <c r="Q30" s="1" t="s">
        <v>22</v>
      </c>
      <c r="R30" s="1" t="s">
        <v>23</v>
      </c>
      <c r="W30" s="1" t="s">
        <v>19</v>
      </c>
      <c r="X30" s="1" t="s">
        <v>20</v>
      </c>
      <c r="Y30" s="1" t="s">
        <v>21</v>
      </c>
      <c r="Z30" s="1" t="s">
        <v>22</v>
      </c>
      <c r="AA30" s="1" t="s">
        <v>23</v>
      </c>
    </row>
    <row r="31" customHeight="1" spans="1:24">
      <c r="A31" s="1" t="s">
        <v>24</v>
      </c>
      <c r="B31" s="2">
        <v>310000</v>
      </c>
      <c r="D31" s="1">
        <v>0</v>
      </c>
      <c r="E31" s="3">
        <f>B31</f>
        <v>310000</v>
      </c>
      <c r="K31" s="1" t="s">
        <v>24</v>
      </c>
      <c r="L31" s="2">
        <v>385000</v>
      </c>
      <c r="N31" s="1">
        <v>0</v>
      </c>
      <c r="O31" s="3">
        <f>L31</f>
        <v>385000</v>
      </c>
      <c r="T31" s="1" t="s">
        <v>24</v>
      </c>
      <c r="U31" s="2">
        <v>310000</v>
      </c>
      <c r="W31" s="1">
        <v>0</v>
      </c>
      <c r="X31" s="3">
        <f>U31</f>
        <v>310000</v>
      </c>
    </row>
    <row r="32" customHeight="1" spans="1:27">
      <c r="A32" s="1" t="s">
        <v>25</v>
      </c>
      <c r="B32" s="4">
        <v>0.12</v>
      </c>
      <c r="D32" s="1">
        <v>1</v>
      </c>
      <c r="E32" s="3">
        <f t="shared" ref="E32:E33" si="2">E31</f>
        <v>310000</v>
      </c>
      <c r="H32" s="3">
        <f t="shared" ref="H32:H38" si="3">E31*$B$32</f>
        <v>37200</v>
      </c>
      <c r="K32" s="1" t="s">
        <v>25</v>
      </c>
      <c r="L32" s="4">
        <v>0.06</v>
      </c>
      <c r="N32" s="1">
        <v>1</v>
      </c>
      <c r="O32" s="3">
        <f t="shared" ref="O32:O33" si="4">O31</f>
        <v>385000</v>
      </c>
      <c r="R32" s="3">
        <f>O31*L32</f>
        <v>23100</v>
      </c>
      <c r="T32" s="1" t="s">
        <v>25</v>
      </c>
      <c r="U32" s="4">
        <v>0.12</v>
      </c>
      <c r="W32" s="1">
        <v>1</v>
      </c>
      <c r="X32" s="3">
        <f t="shared" ref="X32:X36" si="5">X31-Z32</f>
        <v>261202.983098275</v>
      </c>
      <c r="Y32" s="3">
        <f t="shared" ref="Y32:Y36" si="6">-PMT($U$32,$U$33,$U$31)</f>
        <v>85997.0169017251</v>
      </c>
      <c r="Z32" s="3">
        <f t="shared" ref="Z32:Z36" si="7">Y32-AA32</f>
        <v>48797.0169017251</v>
      </c>
      <c r="AA32" s="3">
        <f t="shared" ref="AA32:AA36" si="8">X31*$U$32</f>
        <v>37200</v>
      </c>
    </row>
    <row r="33" customHeight="1" spans="1:27">
      <c r="A33" s="1" t="s">
        <v>26</v>
      </c>
      <c r="B33" s="1">
        <v>2</v>
      </c>
      <c r="D33" s="1">
        <v>2</v>
      </c>
      <c r="E33" s="3">
        <f t="shared" si="2"/>
        <v>310000</v>
      </c>
      <c r="H33" s="3">
        <f t="shared" si="3"/>
        <v>37200</v>
      </c>
      <c r="K33" s="1" t="s">
        <v>26</v>
      </c>
      <c r="L33" s="1">
        <v>2</v>
      </c>
      <c r="N33" s="1">
        <v>2</v>
      </c>
      <c r="O33" s="3">
        <f t="shared" si="4"/>
        <v>385000</v>
      </c>
      <c r="R33" s="3">
        <f>O32*L32</f>
        <v>23100</v>
      </c>
      <c r="T33" s="1" t="s">
        <v>27</v>
      </c>
      <c r="U33" s="1">
        <v>5</v>
      </c>
      <c r="W33" s="1">
        <v>2</v>
      </c>
      <c r="X33" s="3">
        <f t="shared" si="5"/>
        <v>206550.324168343</v>
      </c>
      <c r="Y33" s="3">
        <f t="shared" si="6"/>
        <v>85997.0169017251</v>
      </c>
      <c r="Z33" s="3">
        <f t="shared" si="7"/>
        <v>54652.6589299321</v>
      </c>
      <c r="AA33" s="3">
        <f t="shared" si="8"/>
        <v>31344.357971793</v>
      </c>
    </row>
    <row r="34" customHeight="1" spans="1:27">
      <c r="A34" s="1" t="s">
        <v>27</v>
      </c>
      <c r="B34" s="1">
        <v>7</v>
      </c>
      <c r="D34" s="1">
        <v>3</v>
      </c>
      <c r="E34" s="3">
        <f t="shared" ref="E34:E38" si="9">E33-G34</f>
        <v>261202.983098275</v>
      </c>
      <c r="F34" s="3">
        <f t="shared" ref="F34:F38" si="10">-PMT($B$32,$B$34-$B$33,$E$33)</f>
        <v>85997.0169017251</v>
      </c>
      <c r="G34" s="3">
        <f t="shared" ref="G34:G38" si="11">F34-H34</f>
        <v>48797.0169017251</v>
      </c>
      <c r="H34" s="3">
        <f t="shared" si="3"/>
        <v>37200</v>
      </c>
      <c r="K34" s="1" t="s">
        <v>27</v>
      </c>
      <c r="L34" s="1">
        <v>8</v>
      </c>
      <c r="N34" s="1">
        <v>3</v>
      </c>
      <c r="O34" s="3">
        <f t="shared" ref="O34:O39" si="12">O33-Q34</f>
        <v>329805.388037165</v>
      </c>
      <c r="P34" s="3">
        <f t="shared" ref="P34:P39" si="13">-PMT($L$32,$L$34-$L$33,$L$31)</f>
        <v>78294.6119628347</v>
      </c>
      <c r="Q34" s="3">
        <f t="shared" ref="Q34:Q39" si="14">P34-R34</f>
        <v>55194.6119628347</v>
      </c>
      <c r="R34" s="3">
        <f t="shared" ref="R34:R39" si="15">O33*$L$32</f>
        <v>23100</v>
      </c>
      <c r="W34" s="1">
        <v>3</v>
      </c>
      <c r="X34" s="3">
        <f t="shared" si="5"/>
        <v>145339.346166819</v>
      </c>
      <c r="Y34" s="3">
        <f t="shared" si="6"/>
        <v>85997.0169017251</v>
      </c>
      <c r="Z34" s="3">
        <f t="shared" si="7"/>
        <v>61210.978001524</v>
      </c>
      <c r="AA34" s="3">
        <f t="shared" si="8"/>
        <v>24786.0389002011</v>
      </c>
    </row>
    <row r="35" customHeight="1" spans="4:27">
      <c r="D35" s="1">
        <v>4</v>
      </c>
      <c r="E35" s="3">
        <f t="shared" si="9"/>
        <v>206550.324168343</v>
      </c>
      <c r="F35" s="3">
        <f t="shared" si="10"/>
        <v>85997.0169017251</v>
      </c>
      <c r="G35" s="3">
        <f t="shared" si="11"/>
        <v>54652.6589299321</v>
      </c>
      <c r="H35" s="3">
        <f t="shared" si="3"/>
        <v>31344.357971793</v>
      </c>
      <c r="N35" s="1">
        <v>4</v>
      </c>
      <c r="O35" s="3">
        <f t="shared" si="12"/>
        <v>271299.099356561</v>
      </c>
      <c r="P35" s="3">
        <f t="shared" si="13"/>
        <v>78294.6119628347</v>
      </c>
      <c r="Q35" s="3">
        <f t="shared" si="14"/>
        <v>58506.2886806048</v>
      </c>
      <c r="R35" s="3">
        <f t="shared" si="15"/>
        <v>19788.3232822299</v>
      </c>
      <c r="W35" s="1">
        <v>4</v>
      </c>
      <c r="X35" s="3">
        <f t="shared" si="5"/>
        <v>76783.050805112</v>
      </c>
      <c r="Y35" s="3">
        <f t="shared" si="6"/>
        <v>85997.0169017251</v>
      </c>
      <c r="Z35" s="3">
        <f t="shared" si="7"/>
        <v>68556.2953617068</v>
      </c>
      <c r="AA35" s="3">
        <f t="shared" si="8"/>
        <v>17440.7215400183</v>
      </c>
    </row>
    <row r="36" customHeight="1" spans="4:27">
      <c r="D36" s="1">
        <v>5</v>
      </c>
      <c r="E36" s="3">
        <f t="shared" si="9"/>
        <v>145339.346166819</v>
      </c>
      <c r="F36" s="3">
        <f t="shared" si="10"/>
        <v>85997.0169017251</v>
      </c>
      <c r="G36" s="3">
        <f t="shared" si="11"/>
        <v>61210.978001524</v>
      </c>
      <c r="H36" s="3">
        <f t="shared" si="3"/>
        <v>24786.0389002011</v>
      </c>
      <c r="N36" s="1">
        <v>5</v>
      </c>
      <c r="O36" s="3">
        <f t="shared" si="12"/>
        <v>209282.433355119</v>
      </c>
      <c r="P36" s="3">
        <f t="shared" si="13"/>
        <v>78294.6119628347</v>
      </c>
      <c r="Q36" s="3">
        <f t="shared" si="14"/>
        <v>62016.6660014411</v>
      </c>
      <c r="R36" s="3">
        <f t="shared" si="15"/>
        <v>16277.9459613936</v>
      </c>
      <c r="W36" s="1">
        <v>5</v>
      </c>
      <c r="X36" s="3">
        <f t="shared" si="5"/>
        <v>3.34694050252438e-10</v>
      </c>
      <c r="Y36" s="3">
        <f t="shared" si="6"/>
        <v>85997.0169017251</v>
      </c>
      <c r="Z36" s="3">
        <f t="shared" si="7"/>
        <v>76783.0508051117</v>
      </c>
      <c r="AA36" s="3">
        <f t="shared" si="8"/>
        <v>9213.96609661344</v>
      </c>
    </row>
    <row r="37" customHeight="1" spans="4:27">
      <c r="D37" s="1">
        <v>6</v>
      </c>
      <c r="E37" s="3">
        <f t="shared" si="9"/>
        <v>76783.050805112</v>
      </c>
      <c r="F37" s="3">
        <f t="shared" si="10"/>
        <v>85997.0169017251</v>
      </c>
      <c r="G37" s="3">
        <f t="shared" si="11"/>
        <v>68556.2953617068</v>
      </c>
      <c r="H37" s="3">
        <f t="shared" si="3"/>
        <v>17440.7215400183</v>
      </c>
      <c r="N37" s="1">
        <v>6</v>
      </c>
      <c r="O37" s="3">
        <f t="shared" si="12"/>
        <v>143544.767393592</v>
      </c>
      <c r="P37" s="3">
        <f t="shared" si="13"/>
        <v>78294.6119628347</v>
      </c>
      <c r="Q37" s="3">
        <f t="shared" si="14"/>
        <v>65737.6659615275</v>
      </c>
      <c r="R37" s="3">
        <f t="shared" si="15"/>
        <v>12556.9460013072</v>
      </c>
      <c r="AA37" s="3">
        <f>SUM(AA31:AA36)</f>
        <v>119985.084508626</v>
      </c>
    </row>
    <row r="38" customHeight="1" spans="4:18">
      <c r="D38" s="1">
        <v>7</v>
      </c>
      <c r="E38" s="3">
        <f t="shared" si="9"/>
        <v>3.34694050252438e-10</v>
      </c>
      <c r="F38" s="3">
        <f t="shared" si="10"/>
        <v>85997.0169017251</v>
      </c>
      <c r="G38" s="3">
        <f t="shared" si="11"/>
        <v>76783.0508051117</v>
      </c>
      <c r="H38" s="3">
        <f t="shared" si="3"/>
        <v>9213.96609661344</v>
      </c>
      <c r="N38" s="1">
        <v>7</v>
      </c>
      <c r="O38" s="3">
        <f t="shared" si="12"/>
        <v>73862.8414743727</v>
      </c>
      <c r="P38" s="3">
        <f t="shared" si="13"/>
        <v>78294.6119628347</v>
      </c>
      <c r="Q38" s="3">
        <f t="shared" si="14"/>
        <v>69681.9259192192</v>
      </c>
      <c r="R38" s="3">
        <f t="shared" si="15"/>
        <v>8612.68604361551</v>
      </c>
    </row>
    <row r="39" customHeight="1" spans="8:18">
      <c r="H39" s="3">
        <f>SUM(H31:H38)</f>
        <v>194385.084508626</v>
      </c>
      <c r="N39" s="1">
        <v>8</v>
      </c>
      <c r="O39" s="3">
        <f t="shared" si="12"/>
        <v>3.34694050252438e-10</v>
      </c>
      <c r="P39" s="3">
        <f t="shared" si="13"/>
        <v>78294.6119628347</v>
      </c>
      <c r="Q39" s="3">
        <f t="shared" si="14"/>
        <v>73862.8414743723</v>
      </c>
      <c r="R39" s="3">
        <f t="shared" si="15"/>
        <v>4431.77048846236</v>
      </c>
    </row>
    <row r="40" customHeight="1" spans="12:27">
      <c r="L40" s="4"/>
      <c r="R40" s="3">
        <f>SUM(R31:R39)</f>
        <v>130967.671777009</v>
      </c>
      <c r="U40" s="4"/>
      <c r="AA40" s="3"/>
    </row>
    <row r="47" customHeight="1" spans="1:4">
      <c r="A47" s="1"/>
      <c r="B47" s="2"/>
      <c r="D47" s="3"/>
    </row>
    <row r="48" customHeight="1" spans="1:4">
      <c r="A48" s="1"/>
      <c r="B48" s="2"/>
      <c r="D48" s="3"/>
    </row>
    <row r="49" customHeight="1" spans="1:4">
      <c r="A49" s="1"/>
      <c r="B49" s="4"/>
      <c r="D49" s="3"/>
    </row>
    <row r="50" customHeight="1" spans="1:2">
      <c r="A50" s="1"/>
      <c r="B50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3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10">
      <c r="A1" s="1" t="s">
        <v>13</v>
      </c>
      <c r="B1" s="2">
        <v>300000</v>
      </c>
      <c r="D1" s="1" t="s">
        <v>28</v>
      </c>
      <c r="E1" s="1" t="s">
        <v>29</v>
      </c>
      <c r="F1" s="1" t="s">
        <v>12</v>
      </c>
      <c r="G1" s="1" t="s">
        <v>30</v>
      </c>
      <c r="H1" s="1" t="s">
        <v>31</v>
      </c>
      <c r="I1" s="1" t="s">
        <v>32</v>
      </c>
      <c r="J1" s="1" t="s">
        <v>33</v>
      </c>
    </row>
    <row r="2" customHeight="1" spans="1:10">
      <c r="A2" s="1" t="s">
        <v>34</v>
      </c>
      <c r="B2" s="2">
        <v>45000</v>
      </c>
      <c r="D2" s="1">
        <v>0</v>
      </c>
      <c r="E2" s="3">
        <f>-B1</f>
        <v>-300000</v>
      </c>
      <c r="G2" s="3">
        <f>-E2</f>
        <v>300000</v>
      </c>
      <c r="J2" s="3">
        <f t="shared" ref="J2:J12" si="0">E2-I2</f>
        <v>-300000</v>
      </c>
    </row>
    <row r="3" customHeight="1" spans="1:10">
      <c r="A3" s="1" t="s">
        <v>35</v>
      </c>
      <c r="B3" s="1">
        <v>10</v>
      </c>
      <c r="D3" s="1">
        <v>1</v>
      </c>
      <c r="E3" s="3">
        <f t="shared" ref="E3:E11" si="1">$B$2</f>
        <v>45000</v>
      </c>
      <c r="F3" s="3">
        <f t="shared" ref="F3:F7" si="2">$B$1*$B$7</f>
        <v>60000</v>
      </c>
      <c r="G3" s="3">
        <f t="shared" ref="G3:G12" si="3">G2-F3</f>
        <v>240000</v>
      </c>
      <c r="H3" s="3">
        <f t="shared" ref="H3:H12" si="4">E3-F3</f>
        <v>-15000</v>
      </c>
      <c r="I3" s="3">
        <f t="shared" ref="I3:I12" si="5">H3*$B$6</f>
        <v>-5250</v>
      </c>
      <c r="J3" s="3">
        <f t="shared" si="0"/>
        <v>50250</v>
      </c>
    </row>
    <row r="4" customHeight="1" spans="1:10">
      <c r="A4" s="1" t="s">
        <v>36</v>
      </c>
      <c r="B4" s="2">
        <v>20000</v>
      </c>
      <c r="D4" s="1">
        <v>2</v>
      </c>
      <c r="E4" s="3">
        <f t="shared" si="1"/>
        <v>45000</v>
      </c>
      <c r="F4" s="3">
        <f t="shared" si="2"/>
        <v>60000</v>
      </c>
      <c r="G4" s="3">
        <f t="shared" si="3"/>
        <v>180000</v>
      </c>
      <c r="H4" s="3">
        <f t="shared" si="4"/>
        <v>-15000</v>
      </c>
      <c r="I4" s="3">
        <f t="shared" si="5"/>
        <v>-5250</v>
      </c>
      <c r="J4" s="3">
        <f t="shared" si="0"/>
        <v>50250</v>
      </c>
    </row>
    <row r="5" customHeight="1" spans="1:10">
      <c r="A5" s="1" t="s">
        <v>10</v>
      </c>
      <c r="B5" s="4">
        <v>0.09</v>
      </c>
      <c r="D5" s="1">
        <v>3</v>
      </c>
      <c r="E5" s="3">
        <f t="shared" si="1"/>
        <v>45000</v>
      </c>
      <c r="F5" s="3">
        <f t="shared" si="2"/>
        <v>60000</v>
      </c>
      <c r="G5" s="3">
        <f t="shared" si="3"/>
        <v>120000</v>
      </c>
      <c r="H5" s="3">
        <f t="shared" si="4"/>
        <v>-15000</v>
      </c>
      <c r="I5" s="3">
        <f t="shared" si="5"/>
        <v>-5250</v>
      </c>
      <c r="J5" s="3">
        <f t="shared" si="0"/>
        <v>50250</v>
      </c>
    </row>
    <row r="6" customHeight="1" spans="1:10">
      <c r="A6" s="1" t="s">
        <v>37</v>
      </c>
      <c r="B6" s="4">
        <v>0.35</v>
      </c>
      <c r="D6" s="1">
        <v>4</v>
      </c>
      <c r="E6" s="3">
        <f t="shared" si="1"/>
        <v>45000</v>
      </c>
      <c r="F6" s="3">
        <f t="shared" si="2"/>
        <v>60000</v>
      </c>
      <c r="G6" s="3">
        <f t="shared" si="3"/>
        <v>60000</v>
      </c>
      <c r="H6" s="3">
        <f t="shared" si="4"/>
        <v>-15000</v>
      </c>
      <c r="I6" s="3">
        <f t="shared" si="5"/>
        <v>-5250</v>
      </c>
      <c r="J6" s="3">
        <f t="shared" si="0"/>
        <v>50250</v>
      </c>
    </row>
    <row r="7" customHeight="1" spans="1:10">
      <c r="A7" s="1" t="s">
        <v>12</v>
      </c>
      <c r="B7" s="4">
        <v>0.2</v>
      </c>
      <c r="D7" s="1">
        <v>5</v>
      </c>
      <c r="E7" s="3">
        <f t="shared" si="1"/>
        <v>45000</v>
      </c>
      <c r="F7" s="3">
        <f t="shared" si="2"/>
        <v>60000</v>
      </c>
      <c r="G7" s="3">
        <f t="shared" si="3"/>
        <v>0</v>
      </c>
      <c r="H7" s="3">
        <f t="shared" si="4"/>
        <v>-15000</v>
      </c>
      <c r="I7" s="3">
        <f t="shared" si="5"/>
        <v>-5250</v>
      </c>
      <c r="J7" s="3">
        <f t="shared" si="0"/>
        <v>50250</v>
      </c>
    </row>
    <row r="8" customHeight="1" spans="4:10">
      <c r="D8" s="1">
        <v>6</v>
      </c>
      <c r="E8" s="3">
        <f t="shared" si="1"/>
        <v>45000</v>
      </c>
      <c r="G8" s="3">
        <f t="shared" si="3"/>
        <v>0</v>
      </c>
      <c r="H8" s="3">
        <f t="shared" si="4"/>
        <v>45000</v>
      </c>
      <c r="I8" s="3">
        <f t="shared" si="5"/>
        <v>15750</v>
      </c>
      <c r="J8" s="3">
        <f t="shared" si="0"/>
        <v>29250</v>
      </c>
    </row>
    <row r="9" customHeight="1" spans="4:10">
      <c r="D9" s="1">
        <v>7</v>
      </c>
      <c r="E9" s="3">
        <f t="shared" si="1"/>
        <v>45000</v>
      </c>
      <c r="G9" s="3">
        <f t="shared" si="3"/>
        <v>0</v>
      </c>
      <c r="H9" s="3">
        <f t="shared" si="4"/>
        <v>45000</v>
      </c>
      <c r="I9" s="3">
        <f t="shared" si="5"/>
        <v>15750</v>
      </c>
      <c r="J9" s="3">
        <f t="shared" si="0"/>
        <v>29250</v>
      </c>
    </row>
    <row r="10" customHeight="1" spans="4:10">
      <c r="D10" s="1">
        <v>8</v>
      </c>
      <c r="E10" s="3">
        <f t="shared" si="1"/>
        <v>45000</v>
      </c>
      <c r="G10" s="3">
        <f t="shared" si="3"/>
        <v>0</v>
      </c>
      <c r="H10" s="3">
        <f t="shared" si="4"/>
        <v>45000</v>
      </c>
      <c r="I10" s="3">
        <f t="shared" si="5"/>
        <v>15750</v>
      </c>
      <c r="J10" s="3">
        <f t="shared" si="0"/>
        <v>29250</v>
      </c>
    </row>
    <row r="11" customHeight="1" spans="4:10">
      <c r="D11" s="1">
        <v>9</v>
      </c>
      <c r="E11" s="3">
        <f t="shared" si="1"/>
        <v>45000</v>
      </c>
      <c r="G11" s="3">
        <f t="shared" si="3"/>
        <v>0</v>
      </c>
      <c r="H11" s="3">
        <f t="shared" si="4"/>
        <v>45000</v>
      </c>
      <c r="I11" s="3">
        <f t="shared" si="5"/>
        <v>15750</v>
      </c>
      <c r="J11" s="3">
        <f t="shared" si="0"/>
        <v>29250</v>
      </c>
    </row>
    <row r="12" customHeight="1" spans="4:10">
      <c r="D12" s="1">
        <v>10</v>
      </c>
      <c r="E12" s="3">
        <f>$B$2+B4</f>
        <v>65000</v>
      </c>
      <c r="G12" s="3">
        <f t="shared" si="3"/>
        <v>0</v>
      </c>
      <c r="H12" s="3">
        <f t="shared" si="4"/>
        <v>65000</v>
      </c>
      <c r="I12" s="3">
        <f t="shared" si="5"/>
        <v>22750</v>
      </c>
      <c r="J12" s="3">
        <f t="shared" si="0"/>
        <v>42250</v>
      </c>
    </row>
    <row r="13" customHeight="1" spans="10:10">
      <c r="J13" s="5">
        <f>IRR(J2:J12)</f>
        <v>0.0685197695896864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Página1</vt:lpstr>
      <vt:lpstr>Página2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pehen</cp:lastModifiedBy>
  <dcterms:created xsi:type="dcterms:W3CDTF">2025-06-26T02:41:00Z</dcterms:created>
  <dcterms:modified xsi:type="dcterms:W3CDTF">2025-06-26T17:33:01Z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1046-12.2.0.21546</vt:lpwstr>
  </property>
  <property fmtid="{D5CDD505-2E9C-101B-9397-08002B2CF9AE}" pid="3" name="ICV">
    <vt:lpwstr>602EB110C38B4C4791242919CCDA7666_12</vt:lpwstr>
  </property>
</Properties>
</file>