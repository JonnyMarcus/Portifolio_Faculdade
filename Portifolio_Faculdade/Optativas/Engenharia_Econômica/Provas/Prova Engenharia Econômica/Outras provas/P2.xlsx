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Questão1" sheetId="1" r:id="rId1"/>
    <sheet name="Questão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unifei</author>
  </authors>
  <commentList>
    <comment ref="U23" authorId="0">
      <text>
        <r>
          <rPr>
            <b/>
            <sz val="9"/>
            <rFont val="Segoe UI"/>
            <charset val="134"/>
          </rPr>
          <t>unifei:</t>
        </r>
        <r>
          <rPr>
            <sz val="9"/>
            <rFont val="Segoe UI"/>
            <charset val="134"/>
          </rPr>
          <t xml:space="preserve">
</t>
        </r>
        <r>
          <rPr>
            <sz val="12"/>
            <rFont val="Segoe UI"/>
            <charset val="134"/>
          </rPr>
          <t>Valor Residual = Valor residual de venda - IR sobre a venda +CG</t>
        </r>
      </text>
    </comment>
  </commentList>
</comments>
</file>

<file path=xl/comments2.xml><?xml version="1.0" encoding="utf-8"?>
<comments xmlns="http://schemas.openxmlformats.org/spreadsheetml/2006/main">
  <authors>
    <author>unifei</author>
  </authors>
  <commentList>
    <comment ref="U22" authorId="0">
      <text>
        <r>
          <rPr>
            <b/>
            <sz val="9"/>
            <rFont val="Segoe UI"/>
            <charset val="134"/>
          </rPr>
          <t>unifei:</t>
        </r>
        <r>
          <rPr>
            <sz val="9"/>
            <rFont val="Segoe UI"/>
            <charset val="134"/>
          </rPr>
          <t xml:space="preserve">
</t>
        </r>
        <r>
          <rPr>
            <sz val="12"/>
            <rFont val="Segoe UI"/>
            <charset val="134"/>
          </rPr>
          <t>Valor Residual = Valor residual de venda - IR sobre a venda +CG</t>
        </r>
      </text>
    </comment>
    <comment ref="U55" authorId="0">
      <text>
        <r>
          <rPr>
            <b/>
            <sz val="9"/>
            <rFont val="Segoe UI"/>
            <charset val="134"/>
          </rPr>
          <t>unifei:</t>
        </r>
        <r>
          <rPr>
            <sz val="9"/>
            <rFont val="Segoe UI"/>
            <charset val="134"/>
          </rPr>
          <t xml:space="preserve">
</t>
        </r>
        <r>
          <rPr>
            <sz val="12"/>
            <rFont val="Segoe UI"/>
            <charset val="134"/>
          </rPr>
          <t>Valor Residual = Valor residual de venda - IR sobre a venda +CG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<sst xmlns="http://schemas.openxmlformats.org/spreadsheetml/2006/main" count="170" uniqueCount="78">
  <si>
    <t>Dados:</t>
  </si>
  <si>
    <t>Produção Anual:</t>
  </si>
  <si>
    <t>Un</t>
  </si>
  <si>
    <t>Fluxo de caixa do Empreendimento</t>
  </si>
  <si>
    <t>Preço de venda:</t>
  </si>
  <si>
    <t>/Un</t>
  </si>
  <si>
    <t>Ano</t>
  </si>
  <si>
    <t>Custo Variável:</t>
  </si>
  <si>
    <t>Receita Bruta</t>
  </si>
  <si>
    <t>Custo Fixo:</t>
  </si>
  <si>
    <t>/Ano</t>
  </si>
  <si>
    <t>(-) Impostos proporcionais</t>
  </si>
  <si>
    <t>Despesas Variáveis:</t>
  </si>
  <si>
    <t>Receita Líquida</t>
  </si>
  <si>
    <t>Despesas Fixas:</t>
  </si>
  <si>
    <t>(-) Custo Variável</t>
  </si>
  <si>
    <t>Investimento Fixo:</t>
  </si>
  <si>
    <t>(-) Custo Fixo</t>
  </si>
  <si>
    <t>Capital de Giro:</t>
  </si>
  <si>
    <t>Lucro Bruto</t>
  </si>
  <si>
    <t>Depreciação:</t>
  </si>
  <si>
    <t>/a.a</t>
  </si>
  <si>
    <t>(-) Despesas Variaveis</t>
  </si>
  <si>
    <t>Parcela Inv Fixo Financiada</t>
  </si>
  <si>
    <t>(-) Despesas Fixas</t>
  </si>
  <si>
    <t>Taxa de Juros do Financiamento</t>
  </si>
  <si>
    <t>(-) Depreciação</t>
  </si>
  <si>
    <t>Amortização</t>
  </si>
  <si>
    <t>9 anos sem carência</t>
  </si>
  <si>
    <t>Lucro Antes de Juros e Imp.</t>
  </si>
  <si>
    <t>Valor Residual Venda IF:</t>
  </si>
  <si>
    <t>(-) Despesas financeiras (JUROS)</t>
  </si>
  <si>
    <t>Vida Útil do Projeto:</t>
  </si>
  <si>
    <t>anos</t>
  </si>
  <si>
    <t>Lucro antes do IR</t>
  </si>
  <si>
    <t>ICMS, IPI, Cofins (Imp Prop):</t>
  </si>
  <si>
    <t>(-) IR/CSLL</t>
  </si>
  <si>
    <t>IR/CSLL:</t>
  </si>
  <si>
    <t>Lucro Líquido Após IR</t>
  </si>
  <si>
    <t>TMA:</t>
  </si>
  <si>
    <t>(+) Depreciação</t>
  </si>
  <si>
    <t>(-) Amortização</t>
  </si>
  <si>
    <t>(-) Investimento</t>
  </si>
  <si>
    <t>(-) Capital de giro</t>
  </si>
  <si>
    <t>(+) Valor residual</t>
  </si>
  <si>
    <t>Fluxo de caixa</t>
  </si>
  <si>
    <t>Ganho de Capital</t>
  </si>
  <si>
    <t>Depreciação acumulada</t>
  </si>
  <si>
    <t>Valor contábil no último ano</t>
  </si>
  <si>
    <t xml:space="preserve">Resultado da venda do ativo </t>
  </si>
  <si>
    <t>Tributos sobre venda ativo</t>
  </si>
  <si>
    <t>Residual Após IR</t>
  </si>
  <si>
    <t>TIR</t>
  </si>
  <si>
    <t>VPL</t>
  </si>
  <si>
    <t>Financiamento:</t>
  </si>
  <si>
    <t>Fluxo de caixa do Acionista</t>
  </si>
  <si>
    <t>SAC</t>
  </si>
  <si>
    <t>Juros</t>
  </si>
  <si>
    <t>Data</t>
  </si>
  <si>
    <t>Saldo devedor</t>
  </si>
  <si>
    <t>Prestação</t>
  </si>
  <si>
    <t>(+) Liberação financiamento</t>
  </si>
  <si>
    <t>Investimento</t>
  </si>
  <si>
    <t>Receita Esperada</t>
  </si>
  <si>
    <t>Custo de Mão de Obra</t>
  </si>
  <si>
    <t>Custo Logístico</t>
  </si>
  <si>
    <t>Outros Custos</t>
  </si>
  <si>
    <t>Vida do Projeto</t>
  </si>
  <si>
    <t>Valor de venda do Investimento</t>
  </si>
  <si>
    <t>Depreciação</t>
  </si>
  <si>
    <t>IR</t>
  </si>
  <si>
    <t>Financiamento Price</t>
  </si>
  <si>
    <t>7 anos (2 de carência)</t>
  </si>
  <si>
    <t>Parcela do Invesimento Financiado</t>
  </si>
  <si>
    <t>TMA</t>
  </si>
  <si>
    <t>PRICE</t>
  </si>
  <si>
    <t>Período</t>
  </si>
  <si>
    <t>Saldo Devedor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</si>
</sst>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_-&quot;R$&quot;\ * #,##0.00_-;\-&quot;R$&quot;\ * #,##0.00_-;_-&quot;R$&quot;\ * &quot;-&quot;??_-;_-@"/>
    <numFmt numFmtId="181" formatCode="0.00_);[Red]\(0.00\)"/>
    <numFmt numFmtId="182" formatCode="[$R$ -416]#,##0.00"/>
    <numFmt numFmtId="183" formatCode="&quot;R$&quot;#,##0.00;[Red]\-&quot;R$&quot;#,##0.00"/>
    <numFmt numFmtId="184" formatCode="&quot;R$&quot;\ #,##0.00;[Red]\-&quot;R$&quot;\ #,##0.00"/>
    <numFmt numFmtId="185" formatCode="0_);[Red]\(0\)"/>
  </numFmts>
  <fonts count="29">
    <font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Segoe UI"/>
      <charset val="134"/>
    </font>
    <font>
      <sz val="9"/>
      <name val="Segoe UI"/>
      <charset val="134"/>
    </font>
    <font>
      <sz val="12"/>
      <name val="Segoe U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8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10" borderId="11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177" fontId="1" fillId="2" borderId="1" xfId="2" applyFont="1" applyFill="1" applyBorder="1" applyAlignment="1"/>
    <xf numFmtId="49" fontId="2" fillId="3" borderId="2" xfId="0" applyNumberFormat="1" applyFont="1" applyFill="1" applyBorder="1" applyAlignment="1"/>
    <xf numFmtId="0" fontId="2" fillId="3" borderId="2" xfId="0" applyFont="1" applyFill="1" applyBorder="1" applyAlignment="1">
      <alignment horizontal="center"/>
    </xf>
    <xf numFmtId="180" fontId="1" fillId="2" borderId="1" xfId="0" applyNumberFormat="1" applyFont="1" applyFill="1" applyBorder="1" applyAlignment="1"/>
    <xf numFmtId="49" fontId="2" fillId="4" borderId="2" xfId="0" applyNumberFormat="1" applyFont="1" applyFill="1" applyBorder="1" applyAlignment="1"/>
    <xf numFmtId="177" fontId="2" fillId="5" borderId="2" xfId="2" applyFont="1" applyFill="1" applyBorder="1"/>
    <xf numFmtId="0" fontId="1" fillId="2" borderId="1" xfId="0" applyFont="1" applyFill="1" applyBorder="1" applyAlignment="1">
      <alignment horizontal="left"/>
    </xf>
    <xf numFmtId="49" fontId="3" fillId="3" borderId="2" xfId="0" applyNumberFormat="1" applyFont="1" applyFill="1" applyBorder="1" applyAlignment="1"/>
    <xf numFmtId="177" fontId="2" fillId="3" borderId="2" xfId="2" applyFont="1" applyFill="1" applyBorder="1"/>
    <xf numFmtId="181" fontId="1" fillId="2" borderId="1" xfId="0" applyNumberFormat="1" applyFont="1" applyFill="1" applyBorder="1" applyAlignment="1"/>
    <xf numFmtId="9" fontId="1" fillId="2" borderId="1" xfId="3" applyNumberFormat="1" applyFont="1" applyFill="1" applyBorder="1" applyAlignment="1"/>
    <xf numFmtId="9" fontId="1" fillId="2" borderId="1" xfId="0" applyNumberFormat="1" applyFont="1" applyFill="1" applyBorder="1" applyAlignment="1"/>
    <xf numFmtId="9" fontId="1" fillId="2" borderId="1" xfId="3" applyNumberFormat="1" applyFont="1" applyFill="1" applyBorder="1" applyAlignment="1" applyProtection="1"/>
    <xf numFmtId="0" fontId="0" fillId="0" borderId="0" xfId="0" applyFont="1" applyFill="1" applyAlignment="1"/>
    <xf numFmtId="0" fontId="3" fillId="3" borderId="2" xfId="0" applyFont="1" applyFill="1" applyBorder="1" applyAlignment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77" fontId="2" fillId="3" borderId="3" xfId="2" applyFont="1" applyFill="1" applyBorder="1" applyAlignment="1">
      <alignment horizontal="center"/>
    </xf>
    <xf numFmtId="0" fontId="3" fillId="3" borderId="0" xfId="0" applyFont="1" applyFill="1" applyAlignment="1"/>
    <xf numFmtId="9" fontId="2" fillId="3" borderId="2" xfId="0" applyNumberFormat="1" applyFont="1" applyFill="1" applyBorder="1" applyAlignment="1">
      <alignment horizontal="center"/>
    </xf>
    <xf numFmtId="177" fontId="2" fillId="3" borderId="2" xfId="0" applyNumberFormat="1" applyFont="1" applyFill="1" applyBorder="1" applyAlignment="1"/>
    <xf numFmtId="0" fontId="2" fillId="3" borderId="0" xfId="0" applyFont="1" applyFill="1" applyAlignment="1"/>
    <xf numFmtId="0" fontId="5" fillId="0" borderId="0" xfId="0" applyFont="1" applyFill="1" applyAlignment="1"/>
    <xf numFmtId="182" fontId="5" fillId="0" borderId="0" xfId="0" applyNumberFormat="1" applyFont="1" applyFill="1" applyAlignment="1"/>
    <xf numFmtId="0" fontId="6" fillId="0" borderId="0" xfId="0" applyFont="1" applyFill="1" applyAlignment="1"/>
    <xf numFmtId="182" fontId="6" fillId="0" borderId="0" xfId="0" applyNumberFormat="1" applyFont="1" applyFill="1" applyAlignment="1"/>
    <xf numFmtId="49" fontId="2" fillId="5" borderId="2" xfId="0" applyNumberFormat="1" applyFont="1" applyFill="1" applyBorder="1" applyAlignment="1"/>
    <xf numFmtId="183" fontId="0" fillId="6" borderId="0" xfId="0" applyNumberFormat="1" applyFill="1"/>
    <xf numFmtId="0" fontId="2" fillId="3" borderId="2" xfId="0" applyFont="1" applyFill="1" applyBorder="1" applyAlignment="1"/>
    <xf numFmtId="10" fontId="2" fillId="0" borderId="2" xfId="0" applyNumberFormat="1" applyFont="1" applyFill="1" applyBorder="1" applyAlignment="1">
      <alignment horizontal="center"/>
    </xf>
    <xf numFmtId="184" fontId="2" fillId="0" borderId="2" xfId="2" applyNumberFormat="1" applyFont="1" applyFill="1" applyBorder="1"/>
    <xf numFmtId="0" fontId="4" fillId="3" borderId="5" xfId="0" applyFont="1" applyFill="1" applyBorder="1" applyAlignment="1">
      <alignment horizontal="center"/>
    </xf>
    <xf numFmtId="177" fontId="2" fillId="3" borderId="5" xfId="2" applyFont="1" applyFill="1" applyBorder="1" applyAlignment="1">
      <alignment horizontal="center"/>
    </xf>
    <xf numFmtId="177" fontId="2" fillId="3" borderId="2" xfId="2" applyFont="1" applyFill="1" applyBorder="1" applyAlignment="1">
      <alignment horizontal="center"/>
    </xf>
    <xf numFmtId="177" fontId="2" fillId="7" borderId="2" xfId="2" applyFont="1" applyFill="1" applyBorder="1"/>
    <xf numFmtId="0" fontId="2" fillId="7" borderId="6" xfId="0" applyFont="1" applyFill="1" applyBorder="1" applyAlignment="1"/>
    <xf numFmtId="10" fontId="1" fillId="2" borderId="1" xfId="3" applyNumberFormat="1" applyFont="1" applyFill="1" applyBorder="1" applyAlignment="1"/>
    <xf numFmtId="10" fontId="1" fillId="2" borderId="1" xfId="0" applyNumberFormat="1" applyFont="1" applyFill="1" applyBorder="1" applyAlignment="1"/>
    <xf numFmtId="185" fontId="1" fillId="2" borderId="1" xfId="0" applyNumberFormat="1" applyFont="1" applyFill="1" applyBorder="1" applyAlignment="1"/>
    <xf numFmtId="0" fontId="2" fillId="7" borderId="2" xfId="0" applyFont="1" applyFill="1" applyBorder="1" applyAlignment="1"/>
    <xf numFmtId="10" fontId="2" fillId="3" borderId="2" xfId="3" applyNumberFormat="1" applyFont="1" applyFill="1" applyBorder="1" applyAlignment="1" applyProtection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C69"/>
  <sheetViews>
    <sheetView zoomScale="55" zoomScaleNormal="55" topLeftCell="L1" workbookViewId="0">
      <selection activeCell="Q28" sqref="Q28"/>
    </sheetView>
  </sheetViews>
  <sheetFormatPr defaultColWidth="9" defaultRowHeight="14.4"/>
  <cols>
    <col min="2" max="2" width="7.66666666666667" customWidth="1"/>
    <col min="3" max="3" width="46.1111111111111" customWidth="1"/>
    <col min="4" max="4" width="29.2222222222222" customWidth="1"/>
    <col min="5" max="5" width="22.5555555555556" customWidth="1"/>
    <col min="6" max="6" width="44.6666666666667" customWidth="1"/>
    <col min="7" max="7" width="23.7777777777778" customWidth="1"/>
    <col min="8" max="8" width="45.7777777777778" customWidth="1"/>
    <col min="9" max="9" width="25.4444444444444"/>
    <col min="10" max="12" width="25.1111111111111"/>
    <col min="13" max="13" width="35.7037037037037" customWidth="1"/>
    <col min="14" max="20" width="25.1111111111111"/>
    <col min="21" max="23" width="25.1111111111111" customWidth="1"/>
  </cols>
  <sheetData>
    <row r="2" ht="17.4" spans="3:8">
      <c r="C2" s="1" t="s">
        <v>0</v>
      </c>
      <c r="D2" s="1"/>
      <c r="H2" s="1"/>
    </row>
    <row r="3" ht="21" spans="3:27">
      <c r="C3" s="2" t="s">
        <v>1</v>
      </c>
      <c r="D3" s="12">
        <v>25000</v>
      </c>
      <c r="E3" t="s">
        <v>2</v>
      </c>
      <c r="F3" s="39" t="s">
        <v>3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ht="21" spans="3:21">
      <c r="C4" s="2" t="s">
        <v>4</v>
      </c>
      <c r="D4" s="6">
        <v>245</v>
      </c>
      <c r="E4" t="s">
        <v>5</v>
      </c>
      <c r="F4" s="4" t="s">
        <v>6</v>
      </c>
      <c r="G4" s="5">
        <v>0</v>
      </c>
      <c r="H4" s="5">
        <v>1</v>
      </c>
      <c r="I4" s="5">
        <v>2</v>
      </c>
      <c r="J4" s="5">
        <v>3</v>
      </c>
      <c r="K4" s="5">
        <v>4</v>
      </c>
      <c r="L4" s="5">
        <v>5</v>
      </c>
      <c r="M4" s="5">
        <v>6</v>
      </c>
      <c r="N4" s="5">
        <v>7</v>
      </c>
      <c r="O4" s="5">
        <v>8</v>
      </c>
      <c r="P4" s="5">
        <v>9</v>
      </c>
      <c r="Q4" s="5">
        <v>10</v>
      </c>
      <c r="R4" s="5">
        <v>11</v>
      </c>
      <c r="S4" s="5">
        <v>12</v>
      </c>
      <c r="T4" s="5">
        <v>13</v>
      </c>
      <c r="U4" s="5">
        <v>14</v>
      </c>
    </row>
    <row r="5" ht="21" spans="3:21">
      <c r="C5" s="9" t="s">
        <v>7</v>
      </c>
      <c r="D5" s="6">
        <v>68</v>
      </c>
      <c r="E5" t="s">
        <v>5</v>
      </c>
      <c r="F5" s="7" t="s">
        <v>8</v>
      </c>
      <c r="G5" s="8"/>
      <c r="H5" s="8">
        <f>$D$3*$D$4</f>
        <v>6125000</v>
      </c>
      <c r="I5" s="8">
        <f t="shared" ref="I5:U5" si="0">$D$3*$D$4</f>
        <v>6125000</v>
      </c>
      <c r="J5" s="8">
        <f t="shared" si="0"/>
        <v>6125000</v>
      </c>
      <c r="K5" s="8">
        <f t="shared" si="0"/>
        <v>6125000</v>
      </c>
      <c r="L5" s="8">
        <f t="shared" si="0"/>
        <v>6125000</v>
      </c>
      <c r="M5" s="8">
        <f t="shared" si="0"/>
        <v>6125000</v>
      </c>
      <c r="N5" s="8">
        <f t="shared" si="0"/>
        <v>6125000</v>
      </c>
      <c r="O5" s="8">
        <f t="shared" si="0"/>
        <v>6125000</v>
      </c>
      <c r="P5" s="8">
        <f t="shared" si="0"/>
        <v>6125000</v>
      </c>
      <c r="Q5" s="8">
        <f t="shared" si="0"/>
        <v>6125000</v>
      </c>
      <c r="R5" s="8">
        <f t="shared" si="0"/>
        <v>6125000</v>
      </c>
      <c r="S5" s="8">
        <f t="shared" si="0"/>
        <v>6125000</v>
      </c>
      <c r="T5" s="8">
        <f t="shared" si="0"/>
        <v>6125000</v>
      </c>
      <c r="U5" s="8">
        <f t="shared" si="0"/>
        <v>6125000</v>
      </c>
    </row>
    <row r="6" ht="21" spans="3:21">
      <c r="C6" s="9" t="s">
        <v>9</v>
      </c>
      <c r="D6" s="6">
        <v>58000</v>
      </c>
      <c r="E6" t="s">
        <v>10</v>
      </c>
      <c r="F6" s="10" t="s">
        <v>11</v>
      </c>
      <c r="G6" s="11"/>
      <c r="H6" s="11">
        <f>H5*$D$17</f>
        <v>1102500</v>
      </c>
      <c r="I6" s="11">
        <f t="shared" ref="I6:U6" si="1">I5*$D$17</f>
        <v>1102500</v>
      </c>
      <c r="J6" s="11">
        <f t="shared" si="1"/>
        <v>1102500</v>
      </c>
      <c r="K6" s="11">
        <f t="shared" si="1"/>
        <v>1102500</v>
      </c>
      <c r="L6" s="11">
        <f t="shared" si="1"/>
        <v>1102500</v>
      </c>
      <c r="M6" s="11">
        <f t="shared" si="1"/>
        <v>1102500</v>
      </c>
      <c r="N6" s="11">
        <f t="shared" si="1"/>
        <v>1102500</v>
      </c>
      <c r="O6" s="11">
        <f t="shared" si="1"/>
        <v>1102500</v>
      </c>
      <c r="P6" s="11">
        <f t="shared" si="1"/>
        <v>1102500</v>
      </c>
      <c r="Q6" s="11">
        <f t="shared" si="1"/>
        <v>1102500</v>
      </c>
      <c r="R6" s="11">
        <f t="shared" si="1"/>
        <v>1102500</v>
      </c>
      <c r="S6" s="11">
        <f t="shared" si="1"/>
        <v>1102500</v>
      </c>
      <c r="T6" s="11">
        <f t="shared" si="1"/>
        <v>1102500</v>
      </c>
      <c r="U6" s="11">
        <f t="shared" si="1"/>
        <v>1102500</v>
      </c>
    </row>
    <row r="7" ht="21" spans="3:21">
      <c r="C7" s="9" t="s">
        <v>12</v>
      </c>
      <c r="D7" s="6">
        <v>22.8</v>
      </c>
      <c r="E7" t="s">
        <v>5</v>
      </c>
      <c r="F7" s="7" t="s">
        <v>13</v>
      </c>
      <c r="G7" s="8"/>
      <c r="H7" s="8">
        <f>H5-H6</f>
        <v>5022500</v>
      </c>
      <c r="I7" s="8">
        <f t="shared" ref="I7:U7" si="2">I5-I6</f>
        <v>5022500</v>
      </c>
      <c r="J7" s="8">
        <f t="shared" si="2"/>
        <v>5022500</v>
      </c>
      <c r="K7" s="8">
        <f t="shared" si="2"/>
        <v>5022500</v>
      </c>
      <c r="L7" s="8">
        <f t="shared" si="2"/>
        <v>5022500</v>
      </c>
      <c r="M7" s="8">
        <f t="shared" si="2"/>
        <v>5022500</v>
      </c>
      <c r="N7" s="8">
        <f t="shared" si="2"/>
        <v>5022500</v>
      </c>
      <c r="O7" s="8">
        <f t="shared" si="2"/>
        <v>5022500</v>
      </c>
      <c r="P7" s="8">
        <f t="shared" si="2"/>
        <v>5022500</v>
      </c>
      <c r="Q7" s="8">
        <f t="shared" si="2"/>
        <v>5022500</v>
      </c>
      <c r="R7" s="8">
        <f t="shared" si="2"/>
        <v>5022500</v>
      </c>
      <c r="S7" s="8">
        <f t="shared" si="2"/>
        <v>5022500</v>
      </c>
      <c r="T7" s="8">
        <f t="shared" si="2"/>
        <v>5022500</v>
      </c>
      <c r="U7" s="8">
        <f t="shared" si="2"/>
        <v>5022500</v>
      </c>
    </row>
    <row r="8" ht="21" spans="3:21">
      <c r="C8" s="9" t="s">
        <v>14</v>
      </c>
      <c r="D8" s="6">
        <v>45000</v>
      </c>
      <c r="E8" t="s">
        <v>10</v>
      </c>
      <c r="F8" s="10" t="s">
        <v>15</v>
      </c>
      <c r="G8" s="11"/>
      <c r="H8" s="11">
        <f>$D$5*$D$3</f>
        <v>1700000</v>
      </c>
      <c r="I8" s="11">
        <f t="shared" ref="I8:U8" si="3">$D$5*$D$3</f>
        <v>1700000</v>
      </c>
      <c r="J8" s="11">
        <f t="shared" si="3"/>
        <v>1700000</v>
      </c>
      <c r="K8" s="11">
        <f t="shared" si="3"/>
        <v>1700000</v>
      </c>
      <c r="L8" s="11">
        <f t="shared" si="3"/>
        <v>1700000</v>
      </c>
      <c r="M8" s="11">
        <f t="shared" si="3"/>
        <v>1700000</v>
      </c>
      <c r="N8" s="11">
        <f t="shared" si="3"/>
        <v>1700000</v>
      </c>
      <c r="O8" s="11">
        <f t="shared" si="3"/>
        <v>1700000</v>
      </c>
      <c r="P8" s="11">
        <f t="shared" si="3"/>
        <v>1700000</v>
      </c>
      <c r="Q8" s="11">
        <f t="shared" si="3"/>
        <v>1700000</v>
      </c>
      <c r="R8" s="11">
        <f t="shared" si="3"/>
        <v>1700000</v>
      </c>
      <c r="S8" s="11">
        <f t="shared" si="3"/>
        <v>1700000</v>
      </c>
      <c r="T8" s="11">
        <f t="shared" si="3"/>
        <v>1700000</v>
      </c>
      <c r="U8" s="11">
        <f t="shared" si="3"/>
        <v>1700000</v>
      </c>
    </row>
    <row r="9" ht="21" spans="3:21">
      <c r="C9" s="2" t="s">
        <v>16</v>
      </c>
      <c r="D9" s="6">
        <v>4450000</v>
      </c>
      <c r="F9" s="10" t="s">
        <v>17</v>
      </c>
      <c r="G9" s="11"/>
      <c r="H9" s="11">
        <f>$D$6</f>
        <v>58000</v>
      </c>
      <c r="I9" s="11">
        <f t="shared" ref="I9:U9" si="4">$D$6</f>
        <v>58000</v>
      </c>
      <c r="J9" s="11">
        <f t="shared" si="4"/>
        <v>58000</v>
      </c>
      <c r="K9" s="11">
        <f t="shared" si="4"/>
        <v>58000</v>
      </c>
      <c r="L9" s="11">
        <f t="shared" si="4"/>
        <v>58000</v>
      </c>
      <c r="M9" s="11">
        <f t="shared" si="4"/>
        <v>58000</v>
      </c>
      <c r="N9" s="11">
        <f t="shared" si="4"/>
        <v>58000</v>
      </c>
      <c r="O9" s="11">
        <f t="shared" si="4"/>
        <v>58000</v>
      </c>
      <c r="P9" s="11">
        <f t="shared" si="4"/>
        <v>58000</v>
      </c>
      <c r="Q9" s="11">
        <f t="shared" si="4"/>
        <v>58000</v>
      </c>
      <c r="R9" s="11">
        <f t="shared" si="4"/>
        <v>58000</v>
      </c>
      <c r="S9" s="11">
        <f t="shared" si="4"/>
        <v>58000</v>
      </c>
      <c r="T9" s="11">
        <f t="shared" si="4"/>
        <v>58000</v>
      </c>
      <c r="U9" s="11">
        <f t="shared" si="4"/>
        <v>58000</v>
      </c>
    </row>
    <row r="10" ht="21" spans="3:21">
      <c r="C10" s="2" t="s">
        <v>18</v>
      </c>
      <c r="D10" s="6">
        <v>850000</v>
      </c>
      <c r="F10" s="7" t="s">
        <v>19</v>
      </c>
      <c r="G10" s="8"/>
      <c r="H10" s="8">
        <f>H7-H8-H9</f>
        <v>3264500</v>
      </c>
      <c r="I10" s="8">
        <f t="shared" ref="I10:U10" si="5">I7-I8-I9</f>
        <v>3264500</v>
      </c>
      <c r="J10" s="8">
        <f t="shared" si="5"/>
        <v>3264500</v>
      </c>
      <c r="K10" s="8">
        <f t="shared" si="5"/>
        <v>3264500</v>
      </c>
      <c r="L10" s="8">
        <f t="shared" si="5"/>
        <v>3264500</v>
      </c>
      <c r="M10" s="8">
        <f t="shared" si="5"/>
        <v>3264500</v>
      </c>
      <c r="N10" s="8">
        <f t="shared" si="5"/>
        <v>3264500</v>
      </c>
      <c r="O10" s="8">
        <f t="shared" si="5"/>
        <v>3264500</v>
      </c>
      <c r="P10" s="8">
        <f t="shared" si="5"/>
        <v>3264500</v>
      </c>
      <c r="Q10" s="8">
        <f t="shared" si="5"/>
        <v>3264500</v>
      </c>
      <c r="R10" s="8">
        <f t="shared" si="5"/>
        <v>3264500</v>
      </c>
      <c r="S10" s="8">
        <f t="shared" si="5"/>
        <v>3264500</v>
      </c>
      <c r="T10" s="8">
        <f t="shared" si="5"/>
        <v>3264500</v>
      </c>
      <c r="U10" s="8">
        <f t="shared" si="5"/>
        <v>3264500</v>
      </c>
    </row>
    <row r="11" ht="21" spans="3:21">
      <c r="C11" s="2" t="s">
        <v>20</v>
      </c>
      <c r="D11" s="40">
        <v>0.06</v>
      </c>
      <c r="E11" t="s">
        <v>21</v>
      </c>
      <c r="F11" s="10" t="s">
        <v>22</v>
      </c>
      <c r="G11" s="11"/>
      <c r="H11" s="11">
        <f>$D$7*$D$3</f>
        <v>570000</v>
      </c>
      <c r="I11" s="11">
        <f t="shared" ref="I11:U11" si="6">$D$7*$D$3</f>
        <v>570000</v>
      </c>
      <c r="J11" s="11">
        <f t="shared" si="6"/>
        <v>570000</v>
      </c>
      <c r="K11" s="11">
        <f t="shared" si="6"/>
        <v>570000</v>
      </c>
      <c r="L11" s="11">
        <f t="shared" si="6"/>
        <v>570000</v>
      </c>
      <c r="M11" s="11">
        <f t="shared" si="6"/>
        <v>570000</v>
      </c>
      <c r="N11" s="11">
        <f t="shared" si="6"/>
        <v>570000</v>
      </c>
      <c r="O11" s="11">
        <f t="shared" si="6"/>
        <v>570000</v>
      </c>
      <c r="P11" s="11">
        <f t="shared" si="6"/>
        <v>570000</v>
      </c>
      <c r="Q11" s="11">
        <f t="shared" si="6"/>
        <v>570000</v>
      </c>
      <c r="R11" s="11">
        <f t="shared" si="6"/>
        <v>570000</v>
      </c>
      <c r="S11" s="11">
        <f t="shared" si="6"/>
        <v>570000</v>
      </c>
      <c r="T11" s="11">
        <f t="shared" si="6"/>
        <v>570000</v>
      </c>
      <c r="U11" s="11">
        <f t="shared" si="6"/>
        <v>570000</v>
      </c>
    </row>
    <row r="12" ht="21" spans="3:21">
      <c r="C12" s="2" t="s">
        <v>23</v>
      </c>
      <c r="D12" s="41">
        <v>0.4</v>
      </c>
      <c r="F12" s="10" t="s">
        <v>24</v>
      </c>
      <c r="G12" s="11"/>
      <c r="H12" s="11">
        <f>$D$8</f>
        <v>45000</v>
      </c>
      <c r="I12" s="11">
        <f t="shared" ref="I12:U12" si="7">$D$8</f>
        <v>45000</v>
      </c>
      <c r="J12" s="11">
        <f t="shared" si="7"/>
        <v>45000</v>
      </c>
      <c r="K12" s="11">
        <f t="shared" si="7"/>
        <v>45000</v>
      </c>
      <c r="L12" s="11">
        <f t="shared" si="7"/>
        <v>45000</v>
      </c>
      <c r="M12" s="11">
        <f t="shared" si="7"/>
        <v>45000</v>
      </c>
      <c r="N12" s="11">
        <f t="shared" si="7"/>
        <v>45000</v>
      </c>
      <c r="O12" s="11">
        <f t="shared" si="7"/>
        <v>45000</v>
      </c>
      <c r="P12" s="11">
        <f t="shared" si="7"/>
        <v>45000</v>
      </c>
      <c r="Q12" s="11">
        <f t="shared" si="7"/>
        <v>45000</v>
      </c>
      <c r="R12" s="11">
        <f t="shared" si="7"/>
        <v>45000</v>
      </c>
      <c r="S12" s="11">
        <f t="shared" si="7"/>
        <v>45000</v>
      </c>
      <c r="T12" s="11">
        <f t="shared" si="7"/>
        <v>45000</v>
      </c>
      <c r="U12" s="11">
        <f t="shared" si="7"/>
        <v>45000</v>
      </c>
    </row>
    <row r="13" ht="21" spans="3:21">
      <c r="C13" s="2" t="s">
        <v>25</v>
      </c>
      <c r="D13" s="41">
        <v>0.17</v>
      </c>
      <c r="E13" t="s">
        <v>21</v>
      </c>
      <c r="F13" s="10" t="s">
        <v>26</v>
      </c>
      <c r="G13" s="11"/>
      <c r="H13" s="11">
        <f>$D$9*$D$11</f>
        <v>267000</v>
      </c>
      <c r="I13" s="11">
        <f t="shared" ref="I13:U13" si="8">$D$9*$D$11</f>
        <v>267000</v>
      </c>
      <c r="J13" s="11">
        <f t="shared" si="8"/>
        <v>267000</v>
      </c>
      <c r="K13" s="11">
        <f t="shared" si="8"/>
        <v>267000</v>
      </c>
      <c r="L13" s="11">
        <f t="shared" si="8"/>
        <v>267000</v>
      </c>
      <c r="M13" s="11">
        <f t="shared" si="8"/>
        <v>267000</v>
      </c>
      <c r="N13" s="11">
        <f t="shared" si="8"/>
        <v>267000</v>
      </c>
      <c r="O13" s="11">
        <f t="shared" si="8"/>
        <v>267000</v>
      </c>
      <c r="P13" s="11">
        <f t="shared" si="8"/>
        <v>267000</v>
      </c>
      <c r="Q13" s="11">
        <f t="shared" si="8"/>
        <v>267000</v>
      </c>
      <c r="R13" s="11">
        <f t="shared" si="8"/>
        <v>267000</v>
      </c>
      <c r="S13" s="11">
        <f t="shared" si="8"/>
        <v>267000</v>
      </c>
      <c r="T13" s="11">
        <f t="shared" si="8"/>
        <v>267000</v>
      </c>
      <c r="U13" s="11">
        <f t="shared" si="8"/>
        <v>267000</v>
      </c>
    </row>
    <row r="14" ht="21" spans="3:21">
      <c r="C14" s="2" t="s">
        <v>27</v>
      </c>
      <c r="D14" s="14" t="s">
        <v>28</v>
      </c>
      <c r="F14" s="7" t="s">
        <v>29</v>
      </c>
      <c r="G14" s="8"/>
      <c r="H14" s="8">
        <f>H10-H11-H12-H13</f>
        <v>2382500</v>
      </c>
      <c r="I14" s="8">
        <f t="shared" ref="I14:U14" si="9">I10-I11-I12-I13</f>
        <v>2382500</v>
      </c>
      <c r="J14" s="8">
        <f t="shared" si="9"/>
        <v>2382500</v>
      </c>
      <c r="K14" s="8">
        <f t="shared" si="9"/>
        <v>2382500</v>
      </c>
      <c r="L14" s="8">
        <f t="shared" si="9"/>
        <v>2382500</v>
      </c>
      <c r="M14" s="8">
        <f t="shared" si="9"/>
        <v>2382500</v>
      </c>
      <c r="N14" s="8">
        <f t="shared" si="9"/>
        <v>2382500</v>
      </c>
      <c r="O14" s="8">
        <f t="shared" si="9"/>
        <v>2382500</v>
      </c>
      <c r="P14" s="8">
        <f t="shared" si="9"/>
        <v>2382500</v>
      </c>
      <c r="Q14" s="8">
        <f t="shared" si="9"/>
        <v>2382500</v>
      </c>
      <c r="R14" s="8">
        <f t="shared" si="9"/>
        <v>2382500</v>
      </c>
      <c r="S14" s="8">
        <f t="shared" si="9"/>
        <v>2382500</v>
      </c>
      <c r="T14" s="8">
        <f t="shared" si="9"/>
        <v>2382500</v>
      </c>
      <c r="U14" s="8">
        <f t="shared" si="9"/>
        <v>2382500</v>
      </c>
    </row>
    <row r="15" ht="21" spans="3:21">
      <c r="C15" s="2" t="s">
        <v>30</v>
      </c>
      <c r="D15" s="6">
        <v>980000</v>
      </c>
      <c r="F15" s="10" t="s">
        <v>31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ht="21" spans="3:21">
      <c r="C16" s="2" t="s">
        <v>32</v>
      </c>
      <c r="D16" s="42">
        <v>14</v>
      </c>
      <c r="E16" t="s">
        <v>33</v>
      </c>
      <c r="F16" s="7" t="s">
        <v>34</v>
      </c>
      <c r="G16" s="8"/>
      <c r="H16" s="8">
        <f>H14-H15</f>
        <v>2382500</v>
      </c>
      <c r="I16" s="8">
        <f t="shared" ref="I16:U16" si="10">I14-I15</f>
        <v>2382500</v>
      </c>
      <c r="J16" s="8">
        <f t="shared" si="10"/>
        <v>2382500</v>
      </c>
      <c r="K16" s="8">
        <f t="shared" si="10"/>
        <v>2382500</v>
      </c>
      <c r="L16" s="8">
        <f t="shared" si="10"/>
        <v>2382500</v>
      </c>
      <c r="M16" s="8">
        <f t="shared" si="10"/>
        <v>2382500</v>
      </c>
      <c r="N16" s="8">
        <f t="shared" si="10"/>
        <v>2382500</v>
      </c>
      <c r="O16" s="8">
        <f t="shared" si="10"/>
        <v>2382500</v>
      </c>
      <c r="P16" s="8">
        <f t="shared" si="10"/>
        <v>2382500</v>
      </c>
      <c r="Q16" s="8">
        <f t="shared" si="10"/>
        <v>2382500</v>
      </c>
      <c r="R16" s="8">
        <f t="shared" si="10"/>
        <v>2382500</v>
      </c>
      <c r="S16" s="8">
        <f t="shared" si="10"/>
        <v>2382500</v>
      </c>
      <c r="T16" s="8">
        <f t="shared" si="10"/>
        <v>2382500</v>
      </c>
      <c r="U16" s="8">
        <f t="shared" si="10"/>
        <v>2382500</v>
      </c>
    </row>
    <row r="17" ht="21" spans="3:21">
      <c r="C17" s="2" t="s">
        <v>35</v>
      </c>
      <c r="D17" s="41">
        <v>0.18</v>
      </c>
      <c r="F17" s="10" t="s">
        <v>36</v>
      </c>
      <c r="G17" s="11"/>
      <c r="H17" s="11">
        <f>H16*$D$18</f>
        <v>833875</v>
      </c>
      <c r="I17" s="11">
        <f t="shared" ref="I17:U17" si="11">I16*$D$18</f>
        <v>833875</v>
      </c>
      <c r="J17" s="11">
        <f t="shared" si="11"/>
        <v>833875</v>
      </c>
      <c r="K17" s="11">
        <f t="shared" si="11"/>
        <v>833875</v>
      </c>
      <c r="L17" s="11">
        <f t="shared" si="11"/>
        <v>833875</v>
      </c>
      <c r="M17" s="11">
        <f t="shared" si="11"/>
        <v>833875</v>
      </c>
      <c r="N17" s="11">
        <f t="shared" si="11"/>
        <v>833875</v>
      </c>
      <c r="O17" s="11">
        <f t="shared" si="11"/>
        <v>833875</v>
      </c>
      <c r="P17" s="11">
        <f t="shared" si="11"/>
        <v>833875</v>
      </c>
      <c r="Q17" s="11">
        <f t="shared" si="11"/>
        <v>833875</v>
      </c>
      <c r="R17" s="11">
        <f t="shared" si="11"/>
        <v>833875</v>
      </c>
      <c r="S17" s="11">
        <f t="shared" si="11"/>
        <v>833875</v>
      </c>
      <c r="T17" s="11">
        <f t="shared" si="11"/>
        <v>833875</v>
      </c>
      <c r="U17" s="11">
        <f t="shared" si="11"/>
        <v>833875</v>
      </c>
    </row>
    <row r="18" ht="21" spans="3:21">
      <c r="C18" s="2" t="s">
        <v>37</v>
      </c>
      <c r="D18" s="41">
        <v>0.35</v>
      </c>
      <c r="F18" s="7" t="s">
        <v>38</v>
      </c>
      <c r="G18" s="8"/>
      <c r="H18" s="8">
        <f>H16-H17</f>
        <v>1548625</v>
      </c>
      <c r="I18" s="8">
        <f t="shared" ref="I18:U18" si="12">I16-I17</f>
        <v>1548625</v>
      </c>
      <c r="J18" s="8">
        <f t="shared" si="12"/>
        <v>1548625</v>
      </c>
      <c r="K18" s="8">
        <f t="shared" si="12"/>
        <v>1548625</v>
      </c>
      <c r="L18" s="8">
        <f t="shared" si="12"/>
        <v>1548625</v>
      </c>
      <c r="M18" s="8">
        <f t="shared" si="12"/>
        <v>1548625</v>
      </c>
      <c r="N18" s="8">
        <f t="shared" si="12"/>
        <v>1548625</v>
      </c>
      <c r="O18" s="8">
        <f t="shared" si="12"/>
        <v>1548625</v>
      </c>
      <c r="P18" s="8">
        <f t="shared" si="12"/>
        <v>1548625</v>
      </c>
      <c r="Q18" s="8">
        <f t="shared" si="12"/>
        <v>1548625</v>
      </c>
      <c r="R18" s="8">
        <f t="shared" si="12"/>
        <v>1548625</v>
      </c>
      <c r="S18" s="8">
        <f t="shared" si="12"/>
        <v>1548625</v>
      </c>
      <c r="T18" s="8">
        <f t="shared" si="12"/>
        <v>1548625</v>
      </c>
      <c r="U18" s="8">
        <f t="shared" si="12"/>
        <v>1548625</v>
      </c>
    </row>
    <row r="19" ht="21" spans="3:27">
      <c r="C19" s="2" t="s">
        <v>39</v>
      </c>
      <c r="D19" s="41">
        <v>0.22</v>
      </c>
      <c r="E19" t="s">
        <v>21</v>
      </c>
      <c r="F19" s="10" t="s">
        <v>40</v>
      </c>
      <c r="G19" s="11"/>
      <c r="H19" s="11">
        <f>H13</f>
        <v>267000</v>
      </c>
      <c r="I19" s="11">
        <f t="shared" ref="I19:U19" si="13">I13</f>
        <v>267000</v>
      </c>
      <c r="J19" s="11">
        <f t="shared" si="13"/>
        <v>267000</v>
      </c>
      <c r="K19" s="11">
        <f t="shared" si="13"/>
        <v>267000</v>
      </c>
      <c r="L19" s="11">
        <f t="shared" si="13"/>
        <v>267000</v>
      </c>
      <c r="M19" s="11">
        <f t="shared" si="13"/>
        <v>267000</v>
      </c>
      <c r="N19" s="11">
        <f t="shared" si="13"/>
        <v>267000</v>
      </c>
      <c r="O19" s="11">
        <f t="shared" si="13"/>
        <v>267000</v>
      </c>
      <c r="P19" s="11">
        <f t="shared" si="13"/>
        <v>267000</v>
      </c>
      <c r="Q19" s="11">
        <f t="shared" si="13"/>
        <v>267000</v>
      </c>
      <c r="R19" s="11">
        <f t="shared" si="13"/>
        <v>267000</v>
      </c>
      <c r="S19" s="11">
        <f t="shared" si="13"/>
        <v>267000</v>
      </c>
      <c r="T19" s="11">
        <f t="shared" si="13"/>
        <v>267000</v>
      </c>
      <c r="U19" s="11">
        <f t="shared" si="13"/>
        <v>267000</v>
      </c>
      <c r="V19" s="16"/>
      <c r="W19" s="16"/>
      <c r="X19" s="16"/>
      <c r="Y19" s="16"/>
      <c r="Z19" s="16"/>
      <c r="AA19" s="16"/>
    </row>
    <row r="20" ht="21" spans="6:27">
      <c r="F20" s="10" t="s">
        <v>41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6"/>
      <c r="W20" s="16"/>
      <c r="X20" s="16"/>
      <c r="Y20" s="16"/>
      <c r="Z20" s="16"/>
      <c r="AA20" s="16"/>
    </row>
    <row r="21" ht="21" spans="6:27">
      <c r="F21" s="10" t="s">
        <v>42</v>
      </c>
      <c r="G21" s="11">
        <f>D9</f>
        <v>4450000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6"/>
      <c r="W21" s="16"/>
      <c r="X21" s="16"/>
      <c r="Y21" s="16"/>
      <c r="Z21" s="16"/>
      <c r="AA21" s="16"/>
    </row>
    <row r="22" ht="21" spans="6:27">
      <c r="F22" s="17" t="s">
        <v>43</v>
      </c>
      <c r="G22" s="11">
        <f>D10</f>
        <v>850000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6"/>
      <c r="W22" s="16"/>
      <c r="X22" s="16"/>
      <c r="Y22" s="16"/>
      <c r="Z22" s="16"/>
      <c r="AA22" s="16"/>
    </row>
    <row r="23" ht="21" spans="6:27">
      <c r="F23" s="10" t="s">
        <v>44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38">
        <f>M28+G22</f>
        <v>1024200</v>
      </c>
      <c r="V23" s="16"/>
      <c r="W23" s="16"/>
      <c r="X23" s="16"/>
      <c r="Y23" s="16"/>
      <c r="Z23" s="16"/>
      <c r="AA23" s="16"/>
    </row>
    <row r="24" ht="21" spans="6:27">
      <c r="F24" s="7" t="s">
        <v>45</v>
      </c>
      <c r="G24" s="8">
        <f>G18+G19-G20-G21-G22+G23</f>
        <v>-5300000</v>
      </c>
      <c r="H24" s="8">
        <f>H18+H19-H20-H21-H22+H23</f>
        <v>1815625</v>
      </c>
      <c r="I24" s="8">
        <f t="shared" ref="I24:U24" si="14">I18+I19-I20-I21-I22+I23</f>
        <v>1815625</v>
      </c>
      <c r="J24" s="8">
        <f t="shared" si="14"/>
        <v>1815625</v>
      </c>
      <c r="K24" s="8">
        <f t="shared" si="14"/>
        <v>1815625</v>
      </c>
      <c r="L24" s="8">
        <f t="shared" si="14"/>
        <v>1815625</v>
      </c>
      <c r="M24" s="8">
        <f t="shared" si="14"/>
        <v>1815625</v>
      </c>
      <c r="N24" s="8">
        <f t="shared" si="14"/>
        <v>1815625</v>
      </c>
      <c r="O24" s="8">
        <f t="shared" si="14"/>
        <v>1815625</v>
      </c>
      <c r="P24" s="8">
        <f t="shared" si="14"/>
        <v>1815625</v>
      </c>
      <c r="Q24" s="8">
        <f t="shared" si="14"/>
        <v>1815625</v>
      </c>
      <c r="R24" s="8">
        <f t="shared" si="14"/>
        <v>1815625</v>
      </c>
      <c r="S24" s="8">
        <f t="shared" si="14"/>
        <v>1815625</v>
      </c>
      <c r="T24" s="8">
        <f t="shared" si="14"/>
        <v>1815625</v>
      </c>
      <c r="U24" s="8">
        <f t="shared" si="14"/>
        <v>2839825</v>
      </c>
      <c r="V24" s="16"/>
      <c r="W24" s="16"/>
      <c r="X24" s="16"/>
      <c r="Y24" s="16"/>
      <c r="Z24" s="16"/>
      <c r="AA24" s="16"/>
    </row>
    <row r="25" spans="22:27">
      <c r="V25" s="16"/>
      <c r="W25" s="16"/>
      <c r="X25" s="16"/>
      <c r="Y25" s="16"/>
      <c r="Z25" s="16"/>
      <c r="AA25" s="16"/>
    </row>
    <row r="26" ht="21" spans="6:27">
      <c r="F26" s="18" t="s">
        <v>46</v>
      </c>
      <c r="G26" s="19"/>
      <c r="H26" s="19"/>
      <c r="I26" s="19"/>
      <c r="J26" s="19"/>
      <c r="K26" s="19"/>
      <c r="L26" s="35"/>
      <c r="V26" s="16"/>
      <c r="W26" s="16"/>
      <c r="X26" s="16"/>
      <c r="Y26" s="16"/>
      <c r="Z26" s="16"/>
      <c r="AA26" s="16"/>
    </row>
    <row r="27" ht="21" spans="6:27">
      <c r="F27" s="20" t="s">
        <v>47</v>
      </c>
      <c r="G27" s="20" t="s">
        <v>48</v>
      </c>
      <c r="H27" s="20"/>
      <c r="I27" s="20" t="s">
        <v>49</v>
      </c>
      <c r="J27" s="20"/>
      <c r="K27" s="20" t="s">
        <v>50</v>
      </c>
      <c r="L27" s="20"/>
      <c r="M27" s="20" t="s">
        <v>51</v>
      </c>
      <c r="N27" s="20"/>
      <c r="P27" s="4" t="s">
        <v>52</v>
      </c>
      <c r="Q27" s="33">
        <f>IRR(G24:U24)</f>
        <v>0.337859082848873</v>
      </c>
      <c r="V27" s="16"/>
      <c r="W27" s="16"/>
      <c r="X27" s="16"/>
      <c r="Y27" s="16"/>
      <c r="Z27" s="16"/>
      <c r="AA27" s="16"/>
    </row>
    <row r="28" ht="21" spans="6:27">
      <c r="F28" s="11">
        <f>SUM(H19:U19)</f>
        <v>3738000</v>
      </c>
      <c r="G28" s="21">
        <f>G21-F28</f>
        <v>712000</v>
      </c>
      <c r="H28" s="36"/>
      <c r="I28" s="21">
        <f>D15-G28</f>
        <v>268000</v>
      </c>
      <c r="J28" s="36"/>
      <c r="K28" s="21">
        <f>I28*D18</f>
        <v>93800</v>
      </c>
      <c r="L28" s="36"/>
      <c r="M28" s="21">
        <f>I28-K28</f>
        <v>174200</v>
      </c>
      <c r="N28" s="36"/>
      <c r="P28" s="4" t="s">
        <v>53</v>
      </c>
      <c r="Q28" s="34">
        <f>NPV(D19,H24:U24)+G24</f>
        <v>2506137.75211093</v>
      </c>
      <c r="V28" s="16"/>
      <c r="W28" s="16"/>
      <c r="X28" s="16"/>
      <c r="Y28" s="16"/>
      <c r="Z28" s="16"/>
      <c r="AA28" s="16"/>
    </row>
    <row r="29" spans="22:27">
      <c r="V29" s="16"/>
      <c r="W29" s="16"/>
      <c r="X29" s="16"/>
      <c r="Y29" s="16"/>
      <c r="Z29" s="16"/>
      <c r="AA29" s="16"/>
    </row>
    <row r="32" spans="24:29">
      <c r="X32" s="16"/>
      <c r="Y32" s="16"/>
      <c r="Z32" s="16"/>
      <c r="AA32" s="16"/>
      <c r="AB32" s="16"/>
      <c r="AC32" s="16"/>
    </row>
    <row r="33" ht="21" spans="2:29">
      <c r="B33" s="22"/>
      <c r="C33" s="5" t="s">
        <v>54</v>
      </c>
      <c r="D33" s="6">
        <f>D9+D10</f>
        <v>5300000</v>
      </c>
      <c r="E33" s="22"/>
      <c r="F33" s="22"/>
      <c r="H33" s="43" t="s">
        <v>55</v>
      </c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</row>
    <row r="34" ht="21" spans="2:29">
      <c r="B34" s="22"/>
      <c r="C34" s="5" t="s">
        <v>56</v>
      </c>
      <c r="D34" s="5" t="s">
        <v>28</v>
      </c>
      <c r="E34" s="22"/>
      <c r="F34" s="22"/>
      <c r="H34" s="4" t="s">
        <v>6</v>
      </c>
      <c r="I34" s="5">
        <v>0</v>
      </c>
      <c r="J34" s="5">
        <v>1</v>
      </c>
      <c r="K34" s="5">
        <v>2</v>
      </c>
      <c r="L34" s="5">
        <v>3</v>
      </c>
      <c r="M34" s="5">
        <v>4</v>
      </c>
      <c r="N34" s="5">
        <v>5</v>
      </c>
      <c r="O34" s="5">
        <v>6</v>
      </c>
      <c r="P34" s="5">
        <v>7</v>
      </c>
      <c r="Q34" s="5">
        <v>8</v>
      </c>
      <c r="R34" s="5">
        <v>9</v>
      </c>
      <c r="S34" s="5">
        <v>10</v>
      </c>
      <c r="T34" s="5">
        <v>11</v>
      </c>
      <c r="U34" s="5">
        <v>12</v>
      </c>
      <c r="V34" s="5">
        <v>13</v>
      </c>
      <c r="W34" s="5">
        <v>14</v>
      </c>
      <c r="X34" s="16"/>
      <c r="Y34" s="16"/>
      <c r="Z34" s="16"/>
      <c r="AA34" s="16"/>
      <c r="AB34" s="16"/>
      <c r="AC34" s="16"/>
    </row>
    <row r="35" ht="21" spans="2:29">
      <c r="B35" s="22"/>
      <c r="C35" s="23">
        <f>D12</f>
        <v>0.4</v>
      </c>
      <c r="D35" s="24">
        <f>D33*C35</f>
        <v>2120000</v>
      </c>
      <c r="E35" s="22"/>
      <c r="F35" s="22"/>
      <c r="H35" s="7" t="s">
        <v>8</v>
      </c>
      <c r="I35" s="8"/>
      <c r="J35" s="8">
        <f>$D$3*$D$4</f>
        <v>6125000</v>
      </c>
      <c r="K35" s="8">
        <f>$D$3*$D$4</f>
        <v>6125000</v>
      </c>
      <c r="L35" s="8">
        <f>$D$3*$D$4</f>
        <v>6125000</v>
      </c>
      <c r="M35" s="8">
        <f>$D$3*$D$4</f>
        <v>6125000</v>
      </c>
      <c r="N35" s="8">
        <f>$D$3*$D$4</f>
        <v>6125000</v>
      </c>
      <c r="O35" s="8">
        <f>$D$3*$D$4</f>
        <v>6125000</v>
      </c>
      <c r="P35" s="8">
        <f>$D$3*$D$4</f>
        <v>6125000</v>
      </c>
      <c r="Q35" s="8">
        <f>$D$3*$D$4</f>
        <v>6125000</v>
      </c>
      <c r="R35" s="8">
        <f>$D$3*$D$4</f>
        <v>6125000</v>
      </c>
      <c r="S35" s="8">
        <f>$D$3*$D$4</f>
        <v>6125000</v>
      </c>
      <c r="T35" s="8">
        <f>$D$3*$D$4</f>
        <v>6125000</v>
      </c>
      <c r="U35" s="8">
        <f>$D$3*$D$4</f>
        <v>6125000</v>
      </c>
      <c r="V35" s="8">
        <f>$D$3*$D$4</f>
        <v>6125000</v>
      </c>
      <c r="W35" s="8">
        <f>$D$3*$D$4</f>
        <v>6125000</v>
      </c>
      <c r="X35" s="16"/>
      <c r="Y35" s="16"/>
      <c r="Z35" s="16"/>
      <c r="AA35" s="16"/>
      <c r="AB35" s="16"/>
      <c r="AC35" s="16"/>
    </row>
    <row r="36" ht="21" spans="2:29">
      <c r="B36" s="22"/>
      <c r="C36" s="5" t="s">
        <v>57</v>
      </c>
      <c r="D36" s="44">
        <v>0.17</v>
      </c>
      <c r="E36" s="22"/>
      <c r="F36" s="22"/>
      <c r="H36" s="4" t="s">
        <v>11</v>
      </c>
      <c r="I36" s="11"/>
      <c r="J36" s="11">
        <f>J35*$D$17</f>
        <v>1102500</v>
      </c>
      <c r="K36" s="11">
        <f>K35*$D$17</f>
        <v>1102500</v>
      </c>
      <c r="L36" s="11">
        <f>L35*$D$17</f>
        <v>1102500</v>
      </c>
      <c r="M36" s="11">
        <f>M35*$D$17</f>
        <v>1102500</v>
      </c>
      <c r="N36" s="11">
        <f>N35*$D$17</f>
        <v>1102500</v>
      </c>
      <c r="O36" s="11">
        <f>O35*$D$17</f>
        <v>1102500</v>
      </c>
      <c r="P36" s="11">
        <f>P35*$D$17</f>
        <v>1102500</v>
      </c>
      <c r="Q36" s="11">
        <f>Q35*$D$17</f>
        <v>1102500</v>
      </c>
      <c r="R36" s="11">
        <f>R35*$D$17</f>
        <v>1102500</v>
      </c>
      <c r="S36" s="11">
        <f>S35*$D$17</f>
        <v>1102500</v>
      </c>
      <c r="T36" s="11">
        <f>T35*$D$17</f>
        <v>1102500</v>
      </c>
      <c r="U36" s="11">
        <f>U35*$D$17</f>
        <v>1102500</v>
      </c>
      <c r="V36" s="11">
        <f>V35*$D$17</f>
        <v>1102500</v>
      </c>
      <c r="W36" s="11">
        <f>W35*$D$17</f>
        <v>1102500</v>
      </c>
      <c r="X36" s="16"/>
      <c r="Y36" s="16"/>
      <c r="Z36" s="16"/>
      <c r="AA36" s="16"/>
      <c r="AB36" s="16"/>
      <c r="AC36" s="16"/>
    </row>
    <row r="37" ht="21" spans="2:29">
      <c r="B37" s="22"/>
      <c r="C37" s="22"/>
      <c r="D37" s="25"/>
      <c r="E37" s="25"/>
      <c r="F37" s="25"/>
      <c r="H37" s="7" t="s">
        <v>13</v>
      </c>
      <c r="I37" s="8"/>
      <c r="J37" s="8">
        <f t="shared" ref="J37:W37" si="15">J35-J36</f>
        <v>5022500</v>
      </c>
      <c r="K37" s="8">
        <f t="shared" si="15"/>
        <v>5022500</v>
      </c>
      <c r="L37" s="8">
        <f t="shared" si="15"/>
        <v>5022500</v>
      </c>
      <c r="M37" s="8">
        <f t="shared" si="15"/>
        <v>5022500</v>
      </c>
      <c r="N37" s="8">
        <f t="shared" si="15"/>
        <v>5022500</v>
      </c>
      <c r="O37" s="8">
        <f t="shared" si="15"/>
        <v>5022500</v>
      </c>
      <c r="P37" s="8">
        <f t="shared" si="15"/>
        <v>5022500</v>
      </c>
      <c r="Q37" s="8">
        <f t="shared" si="15"/>
        <v>5022500</v>
      </c>
      <c r="R37" s="8">
        <f t="shared" si="15"/>
        <v>5022500</v>
      </c>
      <c r="S37" s="8">
        <f t="shared" si="15"/>
        <v>5022500</v>
      </c>
      <c r="T37" s="8">
        <f t="shared" si="15"/>
        <v>5022500</v>
      </c>
      <c r="U37" s="8">
        <f t="shared" si="15"/>
        <v>5022500</v>
      </c>
      <c r="V37" s="8">
        <f t="shared" si="15"/>
        <v>5022500</v>
      </c>
      <c r="W37" s="8">
        <f t="shared" si="15"/>
        <v>5022500</v>
      </c>
      <c r="X37" s="16"/>
      <c r="Y37" s="16"/>
      <c r="Z37" s="16"/>
      <c r="AA37" s="16"/>
      <c r="AB37" s="16"/>
      <c r="AC37" s="16"/>
    </row>
    <row r="38" ht="21" spans="2:29">
      <c r="B38" s="5" t="s">
        <v>58</v>
      </c>
      <c r="C38" s="5" t="s">
        <v>59</v>
      </c>
      <c r="D38" s="5" t="s">
        <v>60</v>
      </c>
      <c r="E38" s="5" t="s">
        <v>27</v>
      </c>
      <c r="F38" s="5" t="s">
        <v>57</v>
      </c>
      <c r="H38" s="4" t="s">
        <v>15</v>
      </c>
      <c r="I38" s="11"/>
      <c r="J38" s="11">
        <f>$D$5*$D$3</f>
        <v>1700000</v>
      </c>
      <c r="K38" s="11">
        <f>$D$5*$D$3</f>
        <v>1700000</v>
      </c>
      <c r="L38" s="11">
        <f>$D$5*$D$3</f>
        <v>1700000</v>
      </c>
      <c r="M38" s="11">
        <f>$D$5*$D$3</f>
        <v>1700000</v>
      </c>
      <c r="N38" s="11">
        <f>$D$5*$D$3</f>
        <v>1700000</v>
      </c>
      <c r="O38" s="11">
        <f>$D$5*$D$3</f>
        <v>1700000</v>
      </c>
      <c r="P38" s="11">
        <f>$D$5*$D$3</f>
        <v>1700000</v>
      </c>
      <c r="Q38" s="11">
        <f>$D$5*$D$3</f>
        <v>1700000</v>
      </c>
      <c r="R38" s="11">
        <f>$D$5*$D$3</f>
        <v>1700000</v>
      </c>
      <c r="S38" s="11">
        <f>$D$5*$D$3</f>
        <v>1700000</v>
      </c>
      <c r="T38" s="11">
        <f>$D$5*$D$3</f>
        <v>1700000</v>
      </c>
      <c r="U38" s="11">
        <f>$D$5*$D$3</f>
        <v>1700000</v>
      </c>
      <c r="V38" s="11">
        <f>$D$5*$D$3</f>
        <v>1700000</v>
      </c>
      <c r="W38" s="11">
        <f>$D$5*$D$3</f>
        <v>1700000</v>
      </c>
      <c r="X38" s="16"/>
      <c r="Y38" s="16"/>
      <c r="Z38" s="16"/>
      <c r="AA38" s="16"/>
      <c r="AB38" s="16"/>
      <c r="AC38" s="16"/>
    </row>
    <row r="39" ht="21" spans="2:29">
      <c r="B39" s="5">
        <v>0</v>
      </c>
      <c r="C39" s="37">
        <f>D35</f>
        <v>2120000</v>
      </c>
      <c r="D39" s="37"/>
      <c r="E39" s="37"/>
      <c r="F39" s="37"/>
      <c r="H39" s="4" t="s">
        <v>17</v>
      </c>
      <c r="I39" s="11"/>
      <c r="J39" s="11">
        <f>$D$6</f>
        <v>58000</v>
      </c>
      <c r="K39" s="11">
        <f>$D$6</f>
        <v>58000</v>
      </c>
      <c r="L39" s="11">
        <f>$D$6</f>
        <v>58000</v>
      </c>
      <c r="M39" s="11">
        <f>$D$6</f>
        <v>58000</v>
      </c>
      <c r="N39" s="11">
        <f>$D$6</f>
        <v>58000</v>
      </c>
      <c r="O39" s="11">
        <f>$D$6</f>
        <v>58000</v>
      </c>
      <c r="P39" s="11">
        <f>$D$6</f>
        <v>58000</v>
      </c>
      <c r="Q39" s="11">
        <f>$D$6</f>
        <v>58000</v>
      </c>
      <c r="R39" s="11">
        <f>$D$6</f>
        <v>58000</v>
      </c>
      <c r="S39" s="11">
        <f>$D$6</f>
        <v>58000</v>
      </c>
      <c r="T39" s="11">
        <f>$D$6</f>
        <v>58000</v>
      </c>
      <c r="U39" s="11">
        <f>$D$6</f>
        <v>58000</v>
      </c>
      <c r="V39" s="11">
        <f>$D$6</f>
        <v>58000</v>
      </c>
      <c r="W39" s="11">
        <f>$D$6</f>
        <v>58000</v>
      </c>
      <c r="X39" s="16"/>
      <c r="Y39" s="16"/>
      <c r="Z39" s="16"/>
      <c r="AA39" s="16"/>
      <c r="AB39" s="16"/>
      <c r="AC39" s="16"/>
    </row>
    <row r="40" ht="21" spans="2:29">
      <c r="B40" s="5">
        <v>1</v>
      </c>
      <c r="C40" s="37">
        <f>C39-E40</f>
        <v>1884444.44444444</v>
      </c>
      <c r="D40" s="37">
        <f>E40+F40</f>
        <v>595955.555555556</v>
      </c>
      <c r="E40" s="37">
        <f>$C$39/$B$48</f>
        <v>235555.555555556</v>
      </c>
      <c r="F40" s="37">
        <f>C39*$D$36</f>
        <v>360400</v>
      </c>
      <c r="H40" s="7" t="s">
        <v>19</v>
      </c>
      <c r="I40" s="8"/>
      <c r="J40" s="8">
        <f t="shared" ref="J40:W40" si="16">J37-J38-J39</f>
        <v>3264500</v>
      </c>
      <c r="K40" s="8">
        <f t="shared" si="16"/>
        <v>3264500</v>
      </c>
      <c r="L40" s="8">
        <f t="shared" si="16"/>
        <v>3264500</v>
      </c>
      <c r="M40" s="8">
        <f t="shared" si="16"/>
        <v>3264500</v>
      </c>
      <c r="N40" s="8">
        <f t="shared" si="16"/>
        <v>3264500</v>
      </c>
      <c r="O40" s="8">
        <f t="shared" si="16"/>
        <v>3264500</v>
      </c>
      <c r="P40" s="8">
        <f t="shared" si="16"/>
        <v>3264500</v>
      </c>
      <c r="Q40" s="8">
        <f t="shared" si="16"/>
        <v>3264500</v>
      </c>
      <c r="R40" s="8">
        <f t="shared" si="16"/>
        <v>3264500</v>
      </c>
      <c r="S40" s="8">
        <f t="shared" si="16"/>
        <v>3264500</v>
      </c>
      <c r="T40" s="8">
        <f t="shared" si="16"/>
        <v>3264500</v>
      </c>
      <c r="U40" s="8">
        <f t="shared" si="16"/>
        <v>3264500</v>
      </c>
      <c r="V40" s="8">
        <f t="shared" si="16"/>
        <v>3264500</v>
      </c>
      <c r="W40" s="8">
        <f t="shared" si="16"/>
        <v>3264500</v>
      </c>
      <c r="X40" s="16"/>
      <c r="Y40" s="16"/>
      <c r="Z40" s="16"/>
      <c r="AA40" s="16"/>
      <c r="AB40" s="16"/>
      <c r="AC40" s="16"/>
    </row>
    <row r="41" ht="21" spans="2:29">
      <c r="B41" s="5">
        <v>2</v>
      </c>
      <c r="C41" s="37">
        <f t="shared" ref="C41:C48" si="17">C40-E41</f>
        <v>1648888.88888889</v>
      </c>
      <c r="D41" s="37">
        <f t="shared" ref="D41:D48" si="18">E41+F41</f>
        <v>555911.111111111</v>
      </c>
      <c r="E41" s="37">
        <f t="shared" ref="E41:E48" si="19">$C$39/$B$48</f>
        <v>235555.555555556</v>
      </c>
      <c r="F41" s="37">
        <f t="shared" ref="F41:F48" si="20">C40*$D$36</f>
        <v>320355.555555556</v>
      </c>
      <c r="H41" s="4" t="s">
        <v>22</v>
      </c>
      <c r="I41" s="11"/>
      <c r="J41" s="11">
        <f>$D$7*$D$3</f>
        <v>570000</v>
      </c>
      <c r="K41" s="11">
        <f>$D$7*$D$3</f>
        <v>570000</v>
      </c>
      <c r="L41" s="11">
        <f>$D$7*$D$3</f>
        <v>570000</v>
      </c>
      <c r="M41" s="11">
        <f>$D$7*$D$3</f>
        <v>570000</v>
      </c>
      <c r="N41" s="11">
        <f>$D$7*$D$3</f>
        <v>570000</v>
      </c>
      <c r="O41" s="11">
        <f>$D$7*$D$3</f>
        <v>570000</v>
      </c>
      <c r="P41" s="11">
        <f>$D$7*$D$3</f>
        <v>570000</v>
      </c>
      <c r="Q41" s="11">
        <f>$D$7*$D$3</f>
        <v>570000</v>
      </c>
      <c r="R41" s="11">
        <f>$D$7*$D$3</f>
        <v>570000</v>
      </c>
      <c r="S41" s="11">
        <f>$D$7*$D$3</f>
        <v>570000</v>
      </c>
      <c r="T41" s="11">
        <f>$D$7*$D$3</f>
        <v>570000</v>
      </c>
      <c r="U41" s="11">
        <f>$D$7*$D$3</f>
        <v>570000</v>
      </c>
      <c r="V41" s="11">
        <f>$D$7*$D$3</f>
        <v>570000</v>
      </c>
      <c r="W41" s="11">
        <f>$D$7*$D$3</f>
        <v>570000</v>
      </c>
      <c r="X41" s="16"/>
      <c r="Y41" s="16"/>
      <c r="Z41" s="16"/>
      <c r="AA41" s="16"/>
      <c r="AB41" s="16"/>
      <c r="AC41" s="16"/>
    </row>
    <row r="42" ht="21" spans="2:29">
      <c r="B42" s="5">
        <v>3</v>
      </c>
      <c r="C42" s="37">
        <f t="shared" si="17"/>
        <v>1413333.33333333</v>
      </c>
      <c r="D42" s="37">
        <f t="shared" si="18"/>
        <v>515866.666666667</v>
      </c>
      <c r="E42" s="37">
        <f t="shared" si="19"/>
        <v>235555.555555556</v>
      </c>
      <c r="F42" s="37">
        <f t="shared" si="20"/>
        <v>280311.111111111</v>
      </c>
      <c r="H42" s="4" t="s">
        <v>24</v>
      </c>
      <c r="I42" s="11"/>
      <c r="J42" s="11">
        <f>$D$8</f>
        <v>45000</v>
      </c>
      <c r="K42" s="11">
        <f>$D$8</f>
        <v>45000</v>
      </c>
      <c r="L42" s="11">
        <f>$D$8</f>
        <v>45000</v>
      </c>
      <c r="M42" s="11">
        <f>$D$8</f>
        <v>45000</v>
      </c>
      <c r="N42" s="11">
        <f>$D$8</f>
        <v>45000</v>
      </c>
      <c r="O42" s="11">
        <f>$D$8</f>
        <v>45000</v>
      </c>
      <c r="P42" s="11">
        <f>$D$8</f>
        <v>45000</v>
      </c>
      <c r="Q42" s="11">
        <f>$D$8</f>
        <v>45000</v>
      </c>
      <c r="R42" s="11">
        <f>$D$8</f>
        <v>45000</v>
      </c>
      <c r="S42" s="11">
        <f>$D$8</f>
        <v>45000</v>
      </c>
      <c r="T42" s="11">
        <f>$D$8</f>
        <v>45000</v>
      </c>
      <c r="U42" s="11">
        <f>$D$8</f>
        <v>45000</v>
      </c>
      <c r="V42" s="11">
        <f>$D$8</f>
        <v>45000</v>
      </c>
      <c r="W42" s="11">
        <f>$D$8</f>
        <v>45000</v>
      </c>
      <c r="X42" s="16"/>
      <c r="Y42" s="16"/>
      <c r="Z42" s="16"/>
      <c r="AA42" s="16"/>
      <c r="AB42" s="16"/>
      <c r="AC42" s="16"/>
    </row>
    <row r="43" ht="21" spans="2:29">
      <c r="B43" s="5">
        <v>4</v>
      </c>
      <c r="C43" s="37">
        <f t="shared" si="17"/>
        <v>1177777.77777778</v>
      </c>
      <c r="D43" s="37">
        <f t="shared" si="18"/>
        <v>475822.222222222</v>
      </c>
      <c r="E43" s="37">
        <f t="shared" si="19"/>
        <v>235555.555555556</v>
      </c>
      <c r="F43" s="37">
        <f t="shared" si="20"/>
        <v>240266.666666667</v>
      </c>
      <c r="H43" s="4" t="s">
        <v>26</v>
      </c>
      <c r="I43" s="11"/>
      <c r="J43" s="11">
        <f>$D$9*$D$11</f>
        <v>267000</v>
      </c>
      <c r="K43" s="11">
        <f>$D$9*$D$11</f>
        <v>267000</v>
      </c>
      <c r="L43" s="11">
        <f>$D$9*$D$11</f>
        <v>267000</v>
      </c>
      <c r="M43" s="11">
        <f>$D$9*$D$11</f>
        <v>267000</v>
      </c>
      <c r="N43" s="11">
        <f>$D$9*$D$11</f>
        <v>267000</v>
      </c>
      <c r="O43" s="11">
        <f>$D$9*$D$11</f>
        <v>267000</v>
      </c>
      <c r="P43" s="11">
        <f>$D$9*$D$11</f>
        <v>267000</v>
      </c>
      <c r="Q43" s="11">
        <f>$D$9*$D$11</f>
        <v>267000</v>
      </c>
      <c r="R43" s="11">
        <f>$D$9*$D$11</f>
        <v>267000</v>
      </c>
      <c r="S43" s="11">
        <f>$D$9*$D$11</f>
        <v>267000</v>
      </c>
      <c r="T43" s="11">
        <f>$D$9*$D$11</f>
        <v>267000</v>
      </c>
      <c r="U43" s="11">
        <f>$D$9*$D$11</f>
        <v>267000</v>
      </c>
      <c r="V43" s="11">
        <f>$D$9*$D$11</f>
        <v>267000</v>
      </c>
      <c r="W43" s="11">
        <f>$D$9*$D$11</f>
        <v>267000</v>
      </c>
      <c r="X43" s="16"/>
      <c r="Y43" s="16"/>
      <c r="Z43" s="16"/>
      <c r="AA43" s="16"/>
      <c r="AB43" s="16"/>
      <c r="AC43" s="16"/>
    </row>
    <row r="44" ht="21" spans="2:29">
      <c r="B44" s="5">
        <v>5</v>
      </c>
      <c r="C44" s="37">
        <f t="shared" si="17"/>
        <v>942222.222222222</v>
      </c>
      <c r="D44" s="37">
        <f t="shared" si="18"/>
        <v>435777.777777778</v>
      </c>
      <c r="E44" s="37">
        <f t="shared" si="19"/>
        <v>235555.555555556</v>
      </c>
      <c r="F44" s="37">
        <f t="shared" si="20"/>
        <v>200222.222222222</v>
      </c>
      <c r="H44" s="7" t="s">
        <v>29</v>
      </c>
      <c r="I44" s="8"/>
      <c r="J44" s="8">
        <f t="shared" ref="J44:W44" si="21">J40-J41-J42-J43</f>
        <v>2382500</v>
      </c>
      <c r="K44" s="8">
        <f t="shared" si="21"/>
        <v>2382500</v>
      </c>
      <c r="L44" s="8">
        <f t="shared" si="21"/>
        <v>2382500</v>
      </c>
      <c r="M44" s="8">
        <f t="shared" si="21"/>
        <v>2382500</v>
      </c>
      <c r="N44" s="8">
        <f t="shared" si="21"/>
        <v>2382500</v>
      </c>
      <c r="O44" s="8">
        <f t="shared" si="21"/>
        <v>2382500</v>
      </c>
      <c r="P44" s="8">
        <f t="shared" si="21"/>
        <v>2382500</v>
      </c>
      <c r="Q44" s="8">
        <f t="shared" si="21"/>
        <v>2382500</v>
      </c>
      <c r="R44" s="8">
        <f t="shared" si="21"/>
        <v>2382500</v>
      </c>
      <c r="S44" s="8">
        <f t="shared" si="21"/>
        <v>2382500</v>
      </c>
      <c r="T44" s="8">
        <f t="shared" si="21"/>
        <v>2382500</v>
      </c>
      <c r="U44" s="8">
        <f t="shared" si="21"/>
        <v>2382500</v>
      </c>
      <c r="V44" s="8">
        <f t="shared" si="21"/>
        <v>2382500</v>
      </c>
      <c r="W44" s="8">
        <f t="shared" si="21"/>
        <v>2382500</v>
      </c>
      <c r="X44" s="16"/>
      <c r="Y44" s="16"/>
      <c r="Z44" s="16"/>
      <c r="AA44" s="16"/>
      <c r="AB44" s="16"/>
      <c r="AC44" s="16"/>
    </row>
    <row r="45" ht="21" spans="2:29">
      <c r="B45" s="5">
        <v>6</v>
      </c>
      <c r="C45" s="37">
        <f t="shared" si="17"/>
        <v>706666.666666667</v>
      </c>
      <c r="D45" s="37">
        <f t="shared" si="18"/>
        <v>395733.333333333</v>
      </c>
      <c r="E45" s="37">
        <f t="shared" si="19"/>
        <v>235555.555555556</v>
      </c>
      <c r="F45" s="37">
        <f t="shared" si="20"/>
        <v>160177.777777778</v>
      </c>
      <c r="H45" s="4" t="s">
        <v>31</v>
      </c>
      <c r="I45" s="11"/>
      <c r="J45" s="37" cm="1">
        <f t="array" ref="J45:R45">TRANSPOSE(F40:F48)</f>
        <v>360400</v>
      </c>
      <c r="K45" s="37">
        <v>320355.555555556</v>
      </c>
      <c r="L45" s="37">
        <v>280311.111111111</v>
      </c>
      <c r="M45" s="37">
        <v>240266.666666667</v>
      </c>
      <c r="N45" s="37">
        <v>200222.222222222</v>
      </c>
      <c r="O45" s="11">
        <v>160177.777777778</v>
      </c>
      <c r="P45" s="11">
        <v>120133.333333333</v>
      </c>
      <c r="Q45" s="11">
        <v>80088.8888888889</v>
      </c>
      <c r="R45" s="11">
        <v>40044.4444444445</v>
      </c>
      <c r="S45" s="11"/>
      <c r="T45" s="11"/>
      <c r="U45" s="11"/>
      <c r="V45" s="11"/>
      <c r="W45" s="11"/>
      <c r="X45" s="16"/>
      <c r="Y45" s="16"/>
      <c r="Z45" s="16"/>
      <c r="AA45" s="16"/>
      <c r="AB45" s="16"/>
      <c r="AC45" s="16"/>
    </row>
    <row r="46" ht="21" spans="2:29">
      <c r="B46" s="5">
        <v>7</v>
      </c>
      <c r="C46" s="37">
        <f t="shared" si="17"/>
        <v>471111.111111111</v>
      </c>
      <c r="D46" s="37">
        <f t="shared" si="18"/>
        <v>355688.888888889</v>
      </c>
      <c r="E46" s="37">
        <f t="shared" si="19"/>
        <v>235555.555555556</v>
      </c>
      <c r="F46" s="37">
        <f t="shared" si="20"/>
        <v>120133.333333333</v>
      </c>
      <c r="H46" s="30" t="s">
        <v>34</v>
      </c>
      <c r="I46" s="8"/>
      <c r="J46" s="8">
        <f>J44-J45</f>
        <v>2022100</v>
      </c>
      <c r="K46" s="8">
        <f t="shared" ref="K46:W46" si="22">K44-K45</f>
        <v>2062144.44444444</v>
      </c>
      <c r="L46" s="8">
        <f t="shared" si="22"/>
        <v>2102188.88888889</v>
      </c>
      <c r="M46" s="8">
        <f t="shared" si="22"/>
        <v>2142233.33333333</v>
      </c>
      <c r="N46" s="8">
        <f t="shared" si="22"/>
        <v>2182277.77777778</v>
      </c>
      <c r="O46" s="8">
        <f t="shared" si="22"/>
        <v>2222322.22222222</v>
      </c>
      <c r="P46" s="8">
        <f t="shared" si="22"/>
        <v>2262366.66666667</v>
      </c>
      <c r="Q46" s="8">
        <f t="shared" si="22"/>
        <v>2302411.11111111</v>
      </c>
      <c r="R46" s="8">
        <f t="shared" si="22"/>
        <v>2342455.55555556</v>
      </c>
      <c r="S46" s="8">
        <f t="shared" si="22"/>
        <v>2382500</v>
      </c>
      <c r="T46" s="8">
        <f t="shared" si="22"/>
        <v>2382500</v>
      </c>
      <c r="U46" s="8">
        <f t="shared" si="22"/>
        <v>2382500</v>
      </c>
      <c r="V46" s="8">
        <f t="shared" si="22"/>
        <v>2382500</v>
      </c>
      <c r="W46" s="8">
        <f t="shared" si="22"/>
        <v>2382500</v>
      </c>
      <c r="X46" s="16"/>
      <c r="Y46" s="16"/>
      <c r="Z46" s="16"/>
      <c r="AA46" s="16"/>
      <c r="AB46" s="16"/>
      <c r="AC46" s="16"/>
    </row>
    <row r="47" ht="21" spans="2:29">
      <c r="B47" s="5">
        <v>8</v>
      </c>
      <c r="C47" s="37">
        <f t="shared" si="17"/>
        <v>235555.555555556</v>
      </c>
      <c r="D47" s="37">
        <f t="shared" si="18"/>
        <v>315644.444444444</v>
      </c>
      <c r="E47" s="37">
        <f t="shared" si="19"/>
        <v>235555.555555556</v>
      </c>
      <c r="F47" s="37">
        <f t="shared" si="20"/>
        <v>80088.8888888889</v>
      </c>
      <c r="H47" s="4" t="s">
        <v>36</v>
      </c>
      <c r="I47" s="11"/>
      <c r="J47" s="11">
        <f>J46*$D$18</f>
        <v>707735</v>
      </c>
      <c r="K47" s="11">
        <f t="shared" ref="K47:W47" si="23">K46*$D$18</f>
        <v>721750.555555556</v>
      </c>
      <c r="L47" s="11">
        <f t="shared" si="23"/>
        <v>735766.111111111</v>
      </c>
      <c r="M47" s="11">
        <f t="shared" si="23"/>
        <v>749781.666666667</v>
      </c>
      <c r="N47" s="11">
        <f t="shared" si="23"/>
        <v>763797.222222222</v>
      </c>
      <c r="O47" s="11">
        <f t="shared" si="23"/>
        <v>777812.777777778</v>
      </c>
      <c r="P47" s="11">
        <f t="shared" si="23"/>
        <v>791828.333333333</v>
      </c>
      <c r="Q47" s="11">
        <f t="shared" si="23"/>
        <v>805843.888888889</v>
      </c>
      <c r="R47" s="11">
        <f t="shared" si="23"/>
        <v>819859.444444444</v>
      </c>
      <c r="S47" s="11">
        <f t="shared" si="23"/>
        <v>833875</v>
      </c>
      <c r="T47" s="11">
        <f t="shared" si="23"/>
        <v>833875</v>
      </c>
      <c r="U47" s="11">
        <f t="shared" si="23"/>
        <v>833875</v>
      </c>
      <c r="V47" s="11">
        <f t="shared" si="23"/>
        <v>833875</v>
      </c>
      <c r="W47" s="11">
        <f t="shared" si="23"/>
        <v>833875</v>
      </c>
      <c r="X47" s="16"/>
      <c r="Y47" s="16"/>
      <c r="Z47" s="16"/>
      <c r="AA47" s="16"/>
      <c r="AB47" s="16"/>
      <c r="AC47" s="16"/>
    </row>
    <row r="48" ht="21" spans="2:29">
      <c r="B48" s="5">
        <v>9</v>
      </c>
      <c r="C48" s="37">
        <f t="shared" si="17"/>
        <v>2.91038304567337e-10</v>
      </c>
      <c r="D48" s="37">
        <f t="shared" si="18"/>
        <v>275600</v>
      </c>
      <c r="E48" s="37">
        <f t="shared" si="19"/>
        <v>235555.555555556</v>
      </c>
      <c r="F48" s="37">
        <f t="shared" si="20"/>
        <v>40044.4444444445</v>
      </c>
      <c r="H48" s="7" t="s">
        <v>38</v>
      </c>
      <c r="I48" s="8"/>
      <c r="J48" s="8">
        <f>J46-J47</f>
        <v>1314365</v>
      </c>
      <c r="K48" s="8">
        <f t="shared" ref="K48:W48" si="24">K46-K47</f>
        <v>1340393.88888889</v>
      </c>
      <c r="L48" s="8">
        <f t="shared" si="24"/>
        <v>1366422.77777778</v>
      </c>
      <c r="M48" s="8">
        <f t="shared" si="24"/>
        <v>1392451.66666667</v>
      </c>
      <c r="N48" s="8">
        <f t="shared" si="24"/>
        <v>1418480.55555556</v>
      </c>
      <c r="O48" s="8">
        <f t="shared" si="24"/>
        <v>1444509.44444444</v>
      </c>
      <c r="P48" s="8">
        <f t="shared" si="24"/>
        <v>1470538.33333333</v>
      </c>
      <c r="Q48" s="8">
        <f t="shared" si="24"/>
        <v>1496567.22222222</v>
      </c>
      <c r="R48" s="8">
        <f t="shared" si="24"/>
        <v>1522596.11111111</v>
      </c>
      <c r="S48" s="8">
        <f t="shared" si="24"/>
        <v>1548625</v>
      </c>
      <c r="T48" s="8">
        <f t="shared" si="24"/>
        <v>1548625</v>
      </c>
      <c r="U48" s="8">
        <f t="shared" si="24"/>
        <v>1548625</v>
      </c>
      <c r="V48" s="8">
        <f t="shared" si="24"/>
        <v>1548625</v>
      </c>
      <c r="W48" s="8">
        <f t="shared" si="24"/>
        <v>1548625</v>
      </c>
      <c r="X48" s="16"/>
      <c r="Y48" s="16"/>
      <c r="Z48" s="16"/>
      <c r="AA48" s="16"/>
      <c r="AB48" s="16"/>
      <c r="AC48" s="16"/>
    </row>
    <row r="49" ht="21" spans="4:23">
      <c r="D49" s="31">
        <f>NPV(D36,D40:D48)</f>
        <v>2120000</v>
      </c>
      <c r="H49" s="4" t="s">
        <v>40</v>
      </c>
      <c r="I49" s="11"/>
      <c r="J49" s="11">
        <f>J43</f>
        <v>267000</v>
      </c>
      <c r="K49" s="11">
        <f t="shared" ref="K49:W49" si="25">K43</f>
        <v>267000</v>
      </c>
      <c r="L49" s="11">
        <f t="shared" si="25"/>
        <v>267000</v>
      </c>
      <c r="M49" s="11">
        <f t="shared" si="25"/>
        <v>267000</v>
      </c>
      <c r="N49" s="11">
        <f t="shared" si="25"/>
        <v>267000</v>
      </c>
      <c r="O49" s="11">
        <f t="shared" si="25"/>
        <v>267000</v>
      </c>
      <c r="P49" s="11">
        <f t="shared" si="25"/>
        <v>267000</v>
      </c>
      <c r="Q49" s="11">
        <f t="shared" si="25"/>
        <v>267000</v>
      </c>
      <c r="R49" s="11">
        <f t="shared" si="25"/>
        <v>267000</v>
      </c>
      <c r="S49" s="11">
        <f t="shared" si="25"/>
        <v>267000</v>
      </c>
      <c r="T49" s="11">
        <f t="shared" si="25"/>
        <v>267000</v>
      </c>
      <c r="U49" s="11">
        <f t="shared" si="25"/>
        <v>267000</v>
      </c>
      <c r="V49" s="11">
        <f t="shared" si="25"/>
        <v>267000</v>
      </c>
      <c r="W49" s="11">
        <f t="shared" si="25"/>
        <v>267000</v>
      </c>
    </row>
    <row r="50" ht="21" spans="8:23">
      <c r="H50" s="4" t="s">
        <v>41</v>
      </c>
      <c r="I50" s="11"/>
      <c r="J50" s="37" cm="1">
        <f t="array" ref="J50:R50">TRANSPOSE(E40:E48)</f>
        <v>235555.555555556</v>
      </c>
      <c r="K50" s="37">
        <v>235555.555555556</v>
      </c>
      <c r="L50" s="37">
        <v>235555.555555556</v>
      </c>
      <c r="M50" s="37">
        <v>235555.555555556</v>
      </c>
      <c r="N50" s="37">
        <v>235555.555555556</v>
      </c>
      <c r="O50" s="37">
        <v>235555.555555556</v>
      </c>
      <c r="P50" s="37">
        <v>235555.555555556</v>
      </c>
      <c r="Q50" s="37">
        <v>235555.555555556</v>
      </c>
      <c r="R50" s="37">
        <v>235555.555555556</v>
      </c>
      <c r="S50" s="37"/>
      <c r="T50" s="37"/>
      <c r="U50" s="37"/>
      <c r="V50" s="37"/>
      <c r="W50" s="37"/>
    </row>
    <row r="51" ht="21" spans="5:23">
      <c r="E51" s="4" t="s">
        <v>52</v>
      </c>
      <c r="F51" s="33">
        <f>IRR(I55:W55)</f>
        <v>0.441259536453923</v>
      </c>
      <c r="H51" s="4" t="s">
        <v>42</v>
      </c>
      <c r="I51" s="11">
        <f>G21</f>
        <v>4450000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ht="21" spans="5:23">
      <c r="E52" s="4" t="s">
        <v>53</v>
      </c>
      <c r="F52" s="34">
        <f>NPV(D19,J55:W55)+I55</f>
        <v>3117406.35140754</v>
      </c>
      <c r="H52" s="32" t="s">
        <v>43</v>
      </c>
      <c r="I52" s="11">
        <f>G22</f>
        <v>850000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ht="21" spans="8:29">
      <c r="H53" s="32" t="s">
        <v>61</v>
      </c>
      <c r="I53" s="11">
        <f>D49</f>
        <v>2120000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6"/>
      <c r="Y53" s="16"/>
      <c r="Z53" s="16"/>
      <c r="AA53" s="16"/>
      <c r="AB53" s="16"/>
      <c r="AC53" s="16"/>
    </row>
    <row r="54" ht="21" spans="8:29">
      <c r="H54" s="4" t="s">
        <v>44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>
        <f>U23</f>
        <v>1024200</v>
      </c>
      <c r="X54" s="16"/>
      <c r="Y54" s="16"/>
      <c r="Z54" s="16"/>
      <c r="AA54" s="16"/>
      <c r="AB54" s="16"/>
      <c r="AC54" s="16"/>
    </row>
    <row r="55" ht="21" spans="8:29">
      <c r="H55" s="7" t="s">
        <v>45</v>
      </c>
      <c r="I55" s="8">
        <f>I48+I49-I50-I51-I52+I53+I54</f>
        <v>-3180000</v>
      </c>
      <c r="J55" s="8">
        <f t="shared" ref="J55:W55" si="26">J48+J49-J50-J51-J52+J53+J54</f>
        <v>1345809.44444444</v>
      </c>
      <c r="K55" s="8">
        <f t="shared" si="26"/>
        <v>1371838.33333333</v>
      </c>
      <c r="L55" s="8">
        <f t="shared" si="26"/>
        <v>1397867.22222222</v>
      </c>
      <c r="M55" s="8">
        <f t="shared" si="26"/>
        <v>1423896.11111111</v>
      </c>
      <c r="N55" s="8">
        <f t="shared" si="26"/>
        <v>1449925</v>
      </c>
      <c r="O55" s="8">
        <f t="shared" si="26"/>
        <v>1475953.88888889</v>
      </c>
      <c r="P55" s="8">
        <f t="shared" si="26"/>
        <v>1501982.77777778</v>
      </c>
      <c r="Q55" s="8">
        <f t="shared" si="26"/>
        <v>1528011.66666667</v>
      </c>
      <c r="R55" s="8">
        <f t="shared" si="26"/>
        <v>1554040.55555556</v>
      </c>
      <c r="S55" s="8">
        <f t="shared" si="26"/>
        <v>1815625</v>
      </c>
      <c r="T55" s="8">
        <f t="shared" si="26"/>
        <v>1815625</v>
      </c>
      <c r="U55" s="8">
        <f t="shared" si="26"/>
        <v>1815625</v>
      </c>
      <c r="V55" s="8">
        <f t="shared" si="26"/>
        <v>1815625</v>
      </c>
      <c r="W55" s="8">
        <f t="shared" si="26"/>
        <v>2839825</v>
      </c>
      <c r="X55" s="16"/>
      <c r="Y55" s="16"/>
      <c r="Z55" s="16"/>
      <c r="AA55" s="16"/>
      <c r="AB55" s="16"/>
      <c r="AC55" s="16"/>
    </row>
    <row r="56" spans="22:27">
      <c r="V56" s="16"/>
      <c r="W56" s="16"/>
      <c r="X56" s="16"/>
      <c r="Y56" s="16"/>
      <c r="Z56" s="16"/>
      <c r="AA56" s="16"/>
    </row>
    <row r="57" spans="22:27">
      <c r="V57" s="16"/>
      <c r="W57" s="16"/>
      <c r="X57" s="16"/>
      <c r="Y57" s="16"/>
      <c r="Z57" s="16"/>
      <c r="AA57" s="16"/>
    </row>
    <row r="58" spans="22:27">
      <c r="V58" s="16"/>
      <c r="W58" s="16"/>
      <c r="X58" s="16"/>
      <c r="Y58" s="16"/>
      <c r="Z58" s="16"/>
      <c r="AA58" s="16"/>
    </row>
    <row r="59" spans="22:27">
      <c r="V59" s="16"/>
      <c r="W59" s="16"/>
      <c r="X59" s="16"/>
      <c r="Y59" s="16"/>
      <c r="Z59" s="16"/>
      <c r="AA59" s="16"/>
    </row>
    <row r="60" spans="22:27">
      <c r="V60" s="16"/>
      <c r="W60" s="16"/>
      <c r="X60" s="16"/>
      <c r="Y60" s="16"/>
      <c r="Z60" s="16"/>
      <c r="AA60" s="16"/>
    </row>
    <row r="61" spans="22:27">
      <c r="V61" s="16"/>
      <c r="W61" s="16"/>
      <c r="X61" s="16"/>
      <c r="Y61" s="16"/>
      <c r="Z61" s="16"/>
      <c r="AA61" s="16"/>
    </row>
    <row r="62" spans="22:27">
      <c r="V62" s="16"/>
      <c r="W62" s="16"/>
      <c r="X62" s="16"/>
      <c r="Y62" s="16"/>
      <c r="Z62" s="16"/>
      <c r="AA62" s="16"/>
    </row>
    <row r="63" spans="22:27">
      <c r="V63" s="16"/>
      <c r="W63" s="16"/>
      <c r="X63" s="16"/>
      <c r="Y63" s="16"/>
      <c r="Z63" s="16"/>
      <c r="AA63" s="16"/>
    </row>
    <row r="64" spans="22:27">
      <c r="V64" s="16"/>
      <c r="W64" s="16"/>
      <c r="X64" s="16"/>
      <c r="Y64" s="16"/>
      <c r="Z64" s="16"/>
      <c r="AA64" s="16"/>
    </row>
    <row r="65" spans="22:27">
      <c r="V65" s="16"/>
      <c r="W65" s="16"/>
      <c r="X65" s="16"/>
      <c r="Y65" s="16"/>
      <c r="Z65" s="16"/>
      <c r="AA65" s="16"/>
    </row>
    <row r="66" spans="22:27">
      <c r="V66" s="16"/>
      <c r="W66" s="16"/>
      <c r="X66" s="16"/>
      <c r="Y66" s="16"/>
      <c r="Z66" s="16"/>
      <c r="AA66" s="16"/>
    </row>
    <row r="67" spans="22:27">
      <c r="V67" s="16"/>
      <c r="W67" s="16"/>
      <c r="X67" s="16"/>
      <c r="Y67" s="16"/>
      <c r="Z67" s="16"/>
      <c r="AA67" s="16"/>
    </row>
    <row r="68" spans="22:27">
      <c r="V68" s="16"/>
      <c r="W68" s="16"/>
      <c r="X68" s="16"/>
      <c r="Y68" s="16"/>
      <c r="Z68" s="16"/>
      <c r="AA68" s="16"/>
    </row>
    <row r="69" spans="22:27">
      <c r="V69" s="16"/>
      <c r="W69" s="16"/>
      <c r="X69" s="16"/>
      <c r="Y69" s="16"/>
      <c r="Z69" s="16"/>
      <c r="AA69" s="16"/>
    </row>
  </sheetData>
  <mergeCells count="11">
    <mergeCell ref="F3:AA3"/>
    <mergeCell ref="F26:L26"/>
    <mergeCell ref="G27:H27"/>
    <mergeCell ref="I27:J27"/>
    <mergeCell ref="K27:L27"/>
    <mergeCell ref="M27:N27"/>
    <mergeCell ref="G28:H28"/>
    <mergeCell ref="I28:J28"/>
    <mergeCell ref="K28:L28"/>
    <mergeCell ref="M28:N28"/>
    <mergeCell ref="H33:AC33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56"/>
  <sheetViews>
    <sheetView tabSelected="1" zoomScale="55" zoomScaleNormal="55" workbookViewId="0">
      <selection activeCell="R27" sqref="R27"/>
    </sheetView>
  </sheetViews>
  <sheetFormatPr defaultColWidth="8.88888888888889" defaultRowHeight="14.4"/>
  <cols>
    <col min="3" max="3" width="46.1111111111111" customWidth="1"/>
    <col min="4" max="4" width="31.4444444444444" customWidth="1"/>
    <col min="5" max="5" width="25.1111111111111" customWidth="1"/>
    <col min="6" max="6" width="22.5555555555556" customWidth="1"/>
    <col min="7" max="7" width="44.6666666666667" customWidth="1"/>
    <col min="8" max="8" width="27.1111111111111"/>
    <col min="9" max="11" width="40.8888888888889" customWidth="1"/>
    <col min="12" max="17" width="25.1111111111111"/>
    <col min="18" max="18" width="25.4444444444444"/>
    <col min="19" max="21" width="25.1111111111111"/>
  </cols>
  <sheetData>
    <row r="2" ht="17.4" spans="3:4">
      <c r="C2" s="1" t="s">
        <v>0</v>
      </c>
      <c r="D2" s="1"/>
    </row>
    <row r="3" ht="21" spans="3:21">
      <c r="C3" s="2" t="s">
        <v>62</v>
      </c>
      <c r="D3" s="3">
        <v>16800000</v>
      </c>
      <c r="G3" s="4" t="s">
        <v>6</v>
      </c>
      <c r="H3" s="5">
        <v>0</v>
      </c>
      <c r="I3" s="5">
        <v>1</v>
      </c>
      <c r="J3" s="5">
        <v>2</v>
      </c>
      <c r="K3" s="5">
        <v>3</v>
      </c>
      <c r="L3" s="5">
        <v>4</v>
      </c>
      <c r="M3" s="5">
        <v>5</v>
      </c>
      <c r="N3" s="5">
        <v>6</v>
      </c>
      <c r="O3" s="5">
        <v>7</v>
      </c>
      <c r="P3" s="5">
        <v>8</v>
      </c>
      <c r="Q3" s="5">
        <v>9</v>
      </c>
      <c r="R3" s="5">
        <v>10</v>
      </c>
      <c r="S3" s="5">
        <v>11</v>
      </c>
      <c r="T3" s="5">
        <v>12</v>
      </c>
      <c r="U3" s="5">
        <v>13</v>
      </c>
    </row>
    <row r="4" ht="21" spans="3:21">
      <c r="C4" s="2" t="s">
        <v>63</v>
      </c>
      <c r="D4" s="6">
        <v>6450000</v>
      </c>
      <c r="G4" s="7" t="s">
        <v>8</v>
      </c>
      <c r="H4" s="8"/>
      <c r="I4" s="8">
        <f>$D$4</f>
        <v>6450000</v>
      </c>
      <c r="J4" s="8">
        <f t="shared" ref="J4:U4" si="0">$D$4</f>
        <v>6450000</v>
      </c>
      <c r="K4" s="8">
        <f t="shared" si="0"/>
        <v>6450000</v>
      </c>
      <c r="L4" s="8">
        <f t="shared" si="0"/>
        <v>6450000</v>
      </c>
      <c r="M4" s="8">
        <f t="shared" si="0"/>
        <v>6450000</v>
      </c>
      <c r="N4" s="8">
        <f t="shared" si="0"/>
        <v>6450000</v>
      </c>
      <c r="O4" s="8">
        <f t="shared" si="0"/>
        <v>6450000</v>
      </c>
      <c r="P4" s="8">
        <f t="shared" si="0"/>
        <v>6450000</v>
      </c>
      <c r="Q4" s="8">
        <f t="shared" si="0"/>
        <v>6450000</v>
      </c>
      <c r="R4" s="8">
        <f t="shared" si="0"/>
        <v>6450000</v>
      </c>
      <c r="S4" s="8">
        <f t="shared" si="0"/>
        <v>6450000</v>
      </c>
      <c r="T4" s="8">
        <f t="shared" si="0"/>
        <v>6450000</v>
      </c>
      <c r="U4" s="8">
        <f t="shared" si="0"/>
        <v>6450000</v>
      </c>
    </row>
    <row r="5" ht="21" spans="3:21">
      <c r="C5" s="9" t="s">
        <v>64</v>
      </c>
      <c r="D5" s="6">
        <v>950000</v>
      </c>
      <c r="G5" s="10" t="s">
        <v>11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21" spans="3:21">
      <c r="C6" s="9" t="s">
        <v>65</v>
      </c>
      <c r="D6" s="6">
        <v>1250000</v>
      </c>
      <c r="G6" s="7" t="s">
        <v>13</v>
      </c>
      <c r="H6" s="8"/>
      <c r="I6" s="8">
        <f>I4-I5</f>
        <v>6450000</v>
      </c>
      <c r="J6" s="8">
        <f t="shared" ref="J6:U6" si="1">J4-J5</f>
        <v>6450000</v>
      </c>
      <c r="K6" s="8">
        <f t="shared" si="1"/>
        <v>6450000</v>
      </c>
      <c r="L6" s="8">
        <f t="shared" si="1"/>
        <v>6450000</v>
      </c>
      <c r="M6" s="8">
        <f t="shared" si="1"/>
        <v>6450000</v>
      </c>
      <c r="N6" s="8">
        <f t="shared" si="1"/>
        <v>6450000</v>
      </c>
      <c r="O6" s="8">
        <f t="shared" si="1"/>
        <v>6450000</v>
      </c>
      <c r="P6" s="8">
        <f t="shared" si="1"/>
        <v>6450000</v>
      </c>
      <c r="Q6" s="8">
        <f t="shared" si="1"/>
        <v>6450000</v>
      </c>
      <c r="R6" s="8">
        <f t="shared" si="1"/>
        <v>6450000</v>
      </c>
      <c r="S6" s="8">
        <f t="shared" si="1"/>
        <v>6450000</v>
      </c>
      <c r="T6" s="8">
        <f t="shared" si="1"/>
        <v>6450000</v>
      </c>
      <c r="U6" s="8">
        <f t="shared" si="1"/>
        <v>6450000</v>
      </c>
    </row>
    <row r="7" ht="21" spans="3:21">
      <c r="C7" s="9" t="s">
        <v>66</v>
      </c>
      <c r="D7" s="6">
        <v>480000</v>
      </c>
      <c r="G7" s="10" t="s">
        <v>15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ht="21" spans="3:21">
      <c r="C8" s="9" t="s">
        <v>67</v>
      </c>
      <c r="D8" s="12">
        <v>13</v>
      </c>
      <c r="G8" s="10" t="s">
        <v>17</v>
      </c>
      <c r="H8" s="11"/>
      <c r="I8" s="11">
        <f>$D$5+$D$6+$D$7</f>
        <v>2680000</v>
      </c>
      <c r="J8" s="11">
        <f t="shared" ref="J8:U8" si="2">$D$5+$D$6+$D$7</f>
        <v>2680000</v>
      </c>
      <c r="K8" s="11">
        <f t="shared" si="2"/>
        <v>2680000</v>
      </c>
      <c r="L8" s="11">
        <f t="shared" si="2"/>
        <v>2680000</v>
      </c>
      <c r="M8" s="11">
        <f t="shared" si="2"/>
        <v>2680000</v>
      </c>
      <c r="N8" s="11">
        <f t="shared" si="2"/>
        <v>2680000</v>
      </c>
      <c r="O8" s="11">
        <f t="shared" si="2"/>
        <v>2680000</v>
      </c>
      <c r="P8" s="11">
        <f t="shared" si="2"/>
        <v>2680000</v>
      </c>
      <c r="Q8" s="11">
        <f t="shared" si="2"/>
        <v>2680000</v>
      </c>
      <c r="R8" s="11">
        <f t="shared" si="2"/>
        <v>2680000</v>
      </c>
      <c r="S8" s="11">
        <f t="shared" si="2"/>
        <v>2680000</v>
      </c>
      <c r="T8" s="11">
        <f t="shared" si="2"/>
        <v>2680000</v>
      </c>
      <c r="U8" s="11">
        <f t="shared" si="2"/>
        <v>2680000</v>
      </c>
    </row>
    <row r="9" ht="21" spans="3:21">
      <c r="C9" s="2" t="s">
        <v>68</v>
      </c>
      <c r="D9" s="6">
        <v>975000</v>
      </c>
      <c r="G9" s="7" t="s">
        <v>19</v>
      </c>
      <c r="H9" s="8"/>
      <c r="I9" s="8">
        <f>I6-I8</f>
        <v>3770000</v>
      </c>
      <c r="J9" s="8">
        <f t="shared" ref="J9:U9" si="3">J6-J8</f>
        <v>3770000</v>
      </c>
      <c r="K9" s="8">
        <f t="shared" si="3"/>
        <v>3770000</v>
      </c>
      <c r="L9" s="8">
        <f t="shared" si="3"/>
        <v>3770000</v>
      </c>
      <c r="M9" s="8">
        <f t="shared" si="3"/>
        <v>3770000</v>
      </c>
      <c r="N9" s="8">
        <f t="shared" si="3"/>
        <v>3770000</v>
      </c>
      <c r="O9" s="8">
        <f t="shared" si="3"/>
        <v>3770000</v>
      </c>
      <c r="P9" s="8">
        <f t="shared" si="3"/>
        <v>3770000</v>
      </c>
      <c r="Q9" s="8">
        <f t="shared" si="3"/>
        <v>3770000</v>
      </c>
      <c r="R9" s="8">
        <f t="shared" si="3"/>
        <v>3770000</v>
      </c>
      <c r="S9" s="8">
        <f t="shared" si="3"/>
        <v>3770000</v>
      </c>
      <c r="T9" s="8">
        <f t="shared" si="3"/>
        <v>3770000</v>
      </c>
      <c r="U9" s="8">
        <f t="shared" si="3"/>
        <v>3770000</v>
      </c>
    </row>
    <row r="10" ht="21" spans="3:21">
      <c r="C10" s="2" t="s">
        <v>69</v>
      </c>
      <c r="D10" s="13">
        <v>0.2</v>
      </c>
      <c r="G10" s="10" t="s">
        <v>22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ht="21" spans="3:21">
      <c r="C11" s="2" t="s">
        <v>70</v>
      </c>
      <c r="D11" s="13">
        <v>0.22</v>
      </c>
      <c r="G11" s="10" t="s">
        <v>24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ht="21" spans="3:21">
      <c r="C12" s="2" t="s">
        <v>71</v>
      </c>
      <c r="D12" s="14" t="s">
        <v>72</v>
      </c>
      <c r="G12" s="10" t="s">
        <v>26</v>
      </c>
      <c r="H12" s="11"/>
      <c r="I12" s="11">
        <f>$D$3*$D$10</f>
        <v>3360000</v>
      </c>
      <c r="J12" s="11">
        <f>$D$3*$D$10</f>
        <v>3360000</v>
      </c>
      <c r="K12" s="11">
        <f>$D$3*$D$10</f>
        <v>3360000</v>
      </c>
      <c r="L12" s="11">
        <f>$D$3*$D$10</f>
        <v>3360000</v>
      </c>
      <c r="M12" s="11">
        <f>$D$3*$D$10</f>
        <v>3360000</v>
      </c>
      <c r="N12" s="11"/>
      <c r="O12" s="11"/>
      <c r="P12" s="11"/>
      <c r="Q12" s="11"/>
      <c r="R12" s="11"/>
      <c r="S12" s="11"/>
      <c r="T12" s="11"/>
      <c r="U12" s="11"/>
    </row>
    <row r="13" ht="21" spans="3:21">
      <c r="C13" s="2" t="s">
        <v>73</v>
      </c>
      <c r="D13" s="14">
        <v>0.65</v>
      </c>
      <c r="G13" s="7" t="s">
        <v>29</v>
      </c>
      <c r="H13" s="8"/>
      <c r="I13" s="8">
        <f>I9-I10-I11-I12</f>
        <v>410000</v>
      </c>
      <c r="J13" s="8">
        <f t="shared" ref="J13:U13" si="4">J9-J10-J11-J12</f>
        <v>410000</v>
      </c>
      <c r="K13" s="8">
        <f t="shared" si="4"/>
        <v>410000</v>
      </c>
      <c r="L13" s="8">
        <f t="shared" si="4"/>
        <v>410000</v>
      </c>
      <c r="M13" s="8">
        <f t="shared" si="4"/>
        <v>410000</v>
      </c>
      <c r="N13" s="8">
        <f t="shared" si="4"/>
        <v>3770000</v>
      </c>
      <c r="O13" s="8">
        <f t="shared" si="4"/>
        <v>3770000</v>
      </c>
      <c r="P13" s="8">
        <f t="shared" si="4"/>
        <v>3770000</v>
      </c>
      <c r="Q13" s="8">
        <f t="shared" si="4"/>
        <v>3770000</v>
      </c>
      <c r="R13" s="8">
        <f t="shared" si="4"/>
        <v>3770000</v>
      </c>
      <c r="S13" s="8">
        <f t="shared" si="4"/>
        <v>3770000</v>
      </c>
      <c r="T13" s="8">
        <f t="shared" si="4"/>
        <v>3770000</v>
      </c>
      <c r="U13" s="8">
        <f t="shared" si="4"/>
        <v>3770000</v>
      </c>
    </row>
    <row r="14" ht="21" spans="3:21">
      <c r="C14" s="2" t="s">
        <v>25</v>
      </c>
      <c r="D14" s="15">
        <v>0.09</v>
      </c>
      <c r="G14" s="10" t="s">
        <v>31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ht="21" spans="3:21">
      <c r="C15" s="2" t="s">
        <v>74</v>
      </c>
      <c r="D15" s="13">
        <v>0.12</v>
      </c>
      <c r="G15" s="7" t="s">
        <v>34</v>
      </c>
      <c r="H15" s="8"/>
      <c r="I15" s="8">
        <f>I13-I14</f>
        <v>410000</v>
      </c>
      <c r="J15" s="8">
        <f t="shared" ref="J15:U15" si="5">J13-J14</f>
        <v>410000</v>
      </c>
      <c r="K15" s="8">
        <f t="shared" si="5"/>
        <v>410000</v>
      </c>
      <c r="L15" s="8">
        <f t="shared" si="5"/>
        <v>410000</v>
      </c>
      <c r="M15" s="8">
        <f t="shared" si="5"/>
        <v>410000</v>
      </c>
      <c r="N15" s="8">
        <f t="shared" si="5"/>
        <v>3770000</v>
      </c>
      <c r="O15" s="8">
        <f t="shared" si="5"/>
        <v>3770000</v>
      </c>
      <c r="P15" s="8">
        <f t="shared" si="5"/>
        <v>3770000</v>
      </c>
      <c r="Q15" s="8">
        <f t="shared" si="5"/>
        <v>3770000</v>
      </c>
      <c r="R15" s="8">
        <f t="shared" si="5"/>
        <v>3770000</v>
      </c>
      <c r="S15" s="8">
        <f t="shared" si="5"/>
        <v>3770000</v>
      </c>
      <c r="T15" s="8">
        <f t="shared" si="5"/>
        <v>3770000</v>
      </c>
      <c r="U15" s="8">
        <f t="shared" si="5"/>
        <v>3770000</v>
      </c>
    </row>
    <row r="16" ht="21" spans="3:21">
      <c r="C16" s="16"/>
      <c r="D16" s="16"/>
      <c r="G16" s="10" t="s">
        <v>36</v>
      </c>
      <c r="H16" s="11"/>
      <c r="I16" s="11">
        <f>I15*$D$11</f>
        <v>90200</v>
      </c>
      <c r="J16" s="11">
        <f t="shared" ref="J16:U16" si="6">J15*$D$11</f>
        <v>90200</v>
      </c>
      <c r="K16" s="11">
        <f t="shared" si="6"/>
        <v>90200</v>
      </c>
      <c r="L16" s="11">
        <f t="shared" si="6"/>
        <v>90200</v>
      </c>
      <c r="M16" s="11">
        <f t="shared" si="6"/>
        <v>90200</v>
      </c>
      <c r="N16" s="11">
        <f t="shared" si="6"/>
        <v>829400</v>
      </c>
      <c r="O16" s="11">
        <f t="shared" si="6"/>
        <v>829400</v>
      </c>
      <c r="P16" s="11">
        <f t="shared" si="6"/>
        <v>829400</v>
      </c>
      <c r="Q16" s="11">
        <f t="shared" si="6"/>
        <v>829400</v>
      </c>
      <c r="R16" s="11">
        <f t="shared" si="6"/>
        <v>829400</v>
      </c>
      <c r="S16" s="11">
        <f t="shared" si="6"/>
        <v>829400</v>
      </c>
      <c r="T16" s="11">
        <f t="shared" si="6"/>
        <v>829400</v>
      </c>
      <c r="U16" s="11">
        <f t="shared" si="6"/>
        <v>829400</v>
      </c>
    </row>
    <row r="17" ht="21" spans="3:21">
      <c r="C17" s="16"/>
      <c r="D17" s="16"/>
      <c r="G17" s="7" t="s">
        <v>38</v>
      </c>
      <c r="H17" s="8"/>
      <c r="I17" s="8">
        <f>I15-I16</f>
        <v>319800</v>
      </c>
      <c r="J17" s="8">
        <f t="shared" ref="J17:U17" si="7">J15-J16</f>
        <v>319800</v>
      </c>
      <c r="K17" s="8">
        <f t="shared" si="7"/>
        <v>319800</v>
      </c>
      <c r="L17" s="8">
        <f t="shared" si="7"/>
        <v>319800</v>
      </c>
      <c r="M17" s="8">
        <f t="shared" si="7"/>
        <v>319800</v>
      </c>
      <c r="N17" s="8">
        <f t="shared" si="7"/>
        <v>2940600</v>
      </c>
      <c r="O17" s="8">
        <f t="shared" si="7"/>
        <v>2940600</v>
      </c>
      <c r="P17" s="8">
        <f t="shared" si="7"/>
        <v>2940600</v>
      </c>
      <c r="Q17" s="8">
        <f t="shared" si="7"/>
        <v>2940600</v>
      </c>
      <c r="R17" s="8">
        <f t="shared" si="7"/>
        <v>2940600</v>
      </c>
      <c r="S17" s="8">
        <f t="shared" si="7"/>
        <v>2940600</v>
      </c>
      <c r="T17" s="8">
        <f t="shared" si="7"/>
        <v>2940600</v>
      </c>
      <c r="U17" s="8">
        <f t="shared" si="7"/>
        <v>2940600</v>
      </c>
    </row>
    <row r="18" ht="21" spans="3:21">
      <c r="C18" s="16"/>
      <c r="D18" s="16"/>
      <c r="G18" s="10" t="s">
        <v>40</v>
      </c>
      <c r="H18" s="11"/>
      <c r="I18" s="11">
        <f>I12</f>
        <v>3360000</v>
      </c>
      <c r="J18" s="11">
        <f>J12</f>
        <v>3360000</v>
      </c>
      <c r="K18" s="11">
        <f>K12</f>
        <v>3360000</v>
      </c>
      <c r="L18" s="11">
        <f>L12</f>
        <v>3360000</v>
      </c>
      <c r="M18" s="11">
        <f>M12</f>
        <v>3360000</v>
      </c>
      <c r="N18" s="11"/>
      <c r="O18" s="11"/>
      <c r="P18" s="11"/>
      <c r="Q18" s="11"/>
      <c r="R18" s="11"/>
      <c r="S18" s="11"/>
      <c r="T18" s="11"/>
      <c r="U18" s="11"/>
    </row>
    <row r="19" ht="21" spans="3:21">
      <c r="C19" s="16"/>
      <c r="D19" s="16"/>
      <c r="G19" s="10" t="s">
        <v>41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ht="21" spans="3:21">
      <c r="C20" s="16"/>
      <c r="D20" s="16"/>
      <c r="G20" s="10" t="s">
        <v>42</v>
      </c>
      <c r="H20" s="11">
        <f>D3</f>
        <v>16800000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ht="21" spans="7:21">
      <c r="G21" s="17" t="s">
        <v>43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ht="21" spans="7:21">
      <c r="G22" s="10" t="s">
        <v>44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38">
        <f>N27+H21</f>
        <v>760500</v>
      </c>
    </row>
    <row r="23" ht="21" spans="7:21">
      <c r="G23" s="7" t="s">
        <v>45</v>
      </c>
      <c r="H23" s="8">
        <f>H17+H18-H19-H20-H21+H22</f>
        <v>-16800000</v>
      </c>
      <c r="I23" s="8">
        <f t="shared" ref="I23:U23" si="8">I17+I18-I19-I20-I21+I22</f>
        <v>3679800</v>
      </c>
      <c r="J23" s="8">
        <f t="shared" si="8"/>
        <v>3679800</v>
      </c>
      <c r="K23" s="8">
        <f t="shared" si="8"/>
        <v>3679800</v>
      </c>
      <c r="L23" s="8">
        <f t="shared" si="8"/>
        <v>3679800</v>
      </c>
      <c r="M23" s="8">
        <f t="shared" si="8"/>
        <v>3679800</v>
      </c>
      <c r="N23" s="8">
        <f t="shared" si="8"/>
        <v>2940600</v>
      </c>
      <c r="O23" s="8">
        <f t="shared" si="8"/>
        <v>2940600</v>
      </c>
      <c r="P23" s="8">
        <f t="shared" si="8"/>
        <v>2940600</v>
      </c>
      <c r="Q23" s="8">
        <f t="shared" si="8"/>
        <v>2940600</v>
      </c>
      <c r="R23" s="8">
        <f t="shared" si="8"/>
        <v>2940600</v>
      </c>
      <c r="S23" s="8">
        <f t="shared" si="8"/>
        <v>2940600</v>
      </c>
      <c r="T23" s="8">
        <f t="shared" si="8"/>
        <v>2940600</v>
      </c>
      <c r="U23" s="8">
        <f t="shared" si="8"/>
        <v>3701100</v>
      </c>
    </row>
    <row r="25" ht="21" spans="7:13">
      <c r="G25" s="18" t="s">
        <v>46</v>
      </c>
      <c r="H25" s="19"/>
      <c r="I25" s="19"/>
      <c r="J25" s="19"/>
      <c r="K25" s="19"/>
      <c r="L25" s="19"/>
      <c r="M25" s="35"/>
    </row>
    <row r="26" ht="21" spans="7:18">
      <c r="G26" s="20" t="s">
        <v>47</v>
      </c>
      <c r="H26" s="20" t="s">
        <v>48</v>
      </c>
      <c r="I26" s="20"/>
      <c r="J26" s="20" t="s">
        <v>49</v>
      </c>
      <c r="K26" s="20"/>
      <c r="L26" s="20" t="s">
        <v>50</v>
      </c>
      <c r="M26" s="20"/>
      <c r="N26" s="20" t="s">
        <v>51</v>
      </c>
      <c r="O26" s="20"/>
      <c r="Q26" s="4" t="s">
        <v>52</v>
      </c>
      <c r="R26" s="33">
        <f>IRR(H23:U23)</f>
        <v>0.180565385458997</v>
      </c>
    </row>
    <row r="27" ht="21" spans="7:18">
      <c r="G27" s="11">
        <f>SUM(I12:M12)</f>
        <v>16800000</v>
      </c>
      <c r="H27" s="21">
        <f>H20-G27</f>
        <v>0</v>
      </c>
      <c r="I27" s="36"/>
      <c r="J27" s="21">
        <f>D9-H27</f>
        <v>975000</v>
      </c>
      <c r="K27" s="36"/>
      <c r="L27" s="21">
        <f>J27*D11</f>
        <v>214500</v>
      </c>
      <c r="M27" s="36"/>
      <c r="N27" s="21">
        <f>J27-L27</f>
        <v>760500</v>
      </c>
      <c r="O27" s="36"/>
      <c r="Q27" s="4" t="s">
        <v>53</v>
      </c>
      <c r="R27" s="34">
        <f>NPV(D15,I23:U23)+H23</f>
        <v>4928024.0112361</v>
      </c>
    </row>
    <row r="35" ht="21" spans="2:21">
      <c r="B35" s="22"/>
      <c r="C35" s="5" t="s">
        <v>54</v>
      </c>
      <c r="D35" s="3">
        <v>16800000</v>
      </c>
      <c r="E35" s="22"/>
      <c r="F35" s="22"/>
      <c r="G35" s="4" t="s">
        <v>6</v>
      </c>
      <c r="H35" s="5">
        <v>0</v>
      </c>
      <c r="I35" s="5">
        <v>1</v>
      </c>
      <c r="J35" s="5">
        <v>2</v>
      </c>
      <c r="K35" s="5">
        <v>3</v>
      </c>
      <c r="L35" s="5">
        <v>4</v>
      </c>
      <c r="M35" s="5">
        <v>5</v>
      </c>
      <c r="N35" s="5">
        <v>6</v>
      </c>
      <c r="O35" s="5">
        <v>7</v>
      </c>
      <c r="P35" s="5">
        <v>8</v>
      </c>
      <c r="Q35" s="5">
        <v>9</v>
      </c>
      <c r="R35" s="5">
        <v>10</v>
      </c>
      <c r="S35" s="5">
        <v>11</v>
      </c>
      <c r="T35" s="5">
        <v>12</v>
      </c>
      <c r="U35" s="5">
        <v>13</v>
      </c>
    </row>
    <row r="36" ht="21" spans="2:21">
      <c r="B36" s="22"/>
      <c r="C36" s="5" t="s">
        <v>75</v>
      </c>
      <c r="D36" s="14" t="s">
        <v>72</v>
      </c>
      <c r="E36" s="22"/>
      <c r="F36" s="22"/>
      <c r="G36" s="7" t="s">
        <v>8</v>
      </c>
      <c r="H36" s="8"/>
      <c r="I36" s="8">
        <f>$D$4</f>
        <v>6450000</v>
      </c>
      <c r="J36" s="8">
        <f>$D$4</f>
        <v>6450000</v>
      </c>
      <c r="K36" s="8">
        <f>$D$4</f>
        <v>6450000</v>
      </c>
      <c r="L36" s="8">
        <f>$D$4</f>
        <v>6450000</v>
      </c>
      <c r="M36" s="8">
        <f>$D$4</f>
        <v>6450000</v>
      </c>
      <c r="N36" s="8">
        <f>$D$4</f>
        <v>6450000</v>
      </c>
      <c r="O36" s="8">
        <f>$D$4</f>
        <v>6450000</v>
      </c>
      <c r="P36" s="8">
        <f>$D$4</f>
        <v>6450000</v>
      </c>
      <c r="Q36" s="8">
        <f>$D$4</f>
        <v>6450000</v>
      </c>
      <c r="R36" s="8">
        <f>$D$4</f>
        <v>6450000</v>
      </c>
      <c r="S36" s="8">
        <f>$D$4</f>
        <v>6450000</v>
      </c>
      <c r="T36" s="8">
        <f>$D$4</f>
        <v>6450000</v>
      </c>
      <c r="U36" s="8">
        <f>$D$4</f>
        <v>6450000</v>
      </c>
    </row>
    <row r="37" ht="21" spans="2:21">
      <c r="B37" s="22"/>
      <c r="C37" s="23">
        <v>0.65</v>
      </c>
      <c r="D37" s="24">
        <f>D35*C37</f>
        <v>10920000</v>
      </c>
      <c r="E37" s="22"/>
      <c r="F37" s="22"/>
      <c r="G37" s="4" t="s">
        <v>11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ht="21" spans="2:21">
      <c r="B38" s="22"/>
      <c r="C38" s="5" t="s">
        <v>57</v>
      </c>
      <c r="D38" s="15">
        <v>0.09</v>
      </c>
      <c r="E38" s="22"/>
      <c r="F38" s="22"/>
      <c r="G38" s="7" t="s">
        <v>13</v>
      </c>
      <c r="H38" s="8"/>
      <c r="I38" s="8">
        <f t="shared" ref="I38:U38" si="9">I36-I37</f>
        <v>6450000</v>
      </c>
      <c r="J38" s="8">
        <f t="shared" si="9"/>
        <v>6450000</v>
      </c>
      <c r="K38" s="8">
        <f t="shared" si="9"/>
        <v>6450000</v>
      </c>
      <c r="L38" s="8">
        <f t="shared" si="9"/>
        <v>6450000</v>
      </c>
      <c r="M38" s="8">
        <f t="shared" si="9"/>
        <v>6450000</v>
      </c>
      <c r="N38" s="8">
        <f t="shared" si="9"/>
        <v>6450000</v>
      </c>
      <c r="O38" s="8">
        <f t="shared" si="9"/>
        <v>6450000</v>
      </c>
      <c r="P38" s="8">
        <f t="shared" si="9"/>
        <v>6450000</v>
      </c>
      <c r="Q38" s="8">
        <f t="shared" si="9"/>
        <v>6450000</v>
      </c>
      <c r="R38" s="8">
        <f t="shared" si="9"/>
        <v>6450000</v>
      </c>
      <c r="S38" s="8">
        <f t="shared" si="9"/>
        <v>6450000</v>
      </c>
      <c r="T38" s="8">
        <f t="shared" si="9"/>
        <v>6450000</v>
      </c>
      <c r="U38" s="8">
        <f t="shared" si="9"/>
        <v>6450000</v>
      </c>
    </row>
    <row r="39" ht="21" spans="2:21">
      <c r="B39" s="22"/>
      <c r="C39" s="22"/>
      <c r="D39" s="25"/>
      <c r="E39" s="25"/>
      <c r="F39" s="25"/>
      <c r="G39" s="4" t="s">
        <v>15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ht="21" spans="2:21">
      <c r="B40" s="26" t="s">
        <v>76</v>
      </c>
      <c r="C40" s="26" t="s">
        <v>77</v>
      </c>
      <c r="D40" s="26" t="s">
        <v>60</v>
      </c>
      <c r="E40" s="26" t="s">
        <v>27</v>
      </c>
      <c r="F40" s="26" t="s">
        <v>57</v>
      </c>
      <c r="G40" s="4" t="s">
        <v>17</v>
      </c>
      <c r="H40" s="11"/>
      <c r="I40" s="11">
        <f>$D$5+$D$6+$D$7</f>
        <v>2680000</v>
      </c>
      <c r="J40" s="11">
        <f>$D$5+$D$6+$D$7</f>
        <v>2680000</v>
      </c>
      <c r="K40" s="11">
        <f>$D$5+$D$6+$D$7</f>
        <v>2680000</v>
      </c>
      <c r="L40" s="11">
        <f>$D$5+$D$6+$D$7</f>
        <v>2680000</v>
      </c>
      <c r="M40" s="11">
        <f>$D$5+$D$6+$D$7</f>
        <v>2680000</v>
      </c>
      <c r="N40" s="11">
        <f>$D$5+$D$6+$D$7</f>
        <v>2680000</v>
      </c>
      <c r="O40" s="11">
        <f>$D$5+$D$6+$D$7</f>
        <v>2680000</v>
      </c>
      <c r="P40" s="11">
        <f>$D$5+$D$6+$D$7</f>
        <v>2680000</v>
      </c>
      <c r="Q40" s="11">
        <f>$D$5+$D$6+$D$7</f>
        <v>2680000</v>
      </c>
      <c r="R40" s="11">
        <f>$D$5+$D$6+$D$7</f>
        <v>2680000</v>
      </c>
      <c r="S40" s="11">
        <f>$D$5+$D$6+$D$7</f>
        <v>2680000</v>
      </c>
      <c r="T40" s="11">
        <f>$D$5+$D$6+$D$7</f>
        <v>2680000</v>
      </c>
      <c r="U40" s="11">
        <f>$D$5+$D$6+$D$7</f>
        <v>2680000</v>
      </c>
    </row>
    <row r="41" ht="21" spans="2:21">
      <c r="B41" s="26">
        <v>0</v>
      </c>
      <c r="C41" s="27">
        <f>D37</f>
        <v>10920000</v>
      </c>
      <c r="D41" s="28"/>
      <c r="E41" s="28"/>
      <c r="F41" s="28"/>
      <c r="G41" s="7" t="s">
        <v>19</v>
      </c>
      <c r="H41" s="8"/>
      <c r="I41" s="8">
        <f t="shared" ref="I41:U41" si="10">I38-I40</f>
        <v>3770000</v>
      </c>
      <c r="J41" s="8">
        <f t="shared" si="10"/>
        <v>3770000</v>
      </c>
      <c r="K41" s="8">
        <f t="shared" si="10"/>
        <v>3770000</v>
      </c>
      <c r="L41" s="8">
        <f t="shared" si="10"/>
        <v>3770000</v>
      </c>
      <c r="M41" s="8">
        <f t="shared" si="10"/>
        <v>3770000</v>
      </c>
      <c r="N41" s="8">
        <f t="shared" si="10"/>
        <v>3770000</v>
      </c>
      <c r="O41" s="8">
        <f t="shared" si="10"/>
        <v>3770000</v>
      </c>
      <c r="P41" s="8">
        <f t="shared" si="10"/>
        <v>3770000</v>
      </c>
      <c r="Q41" s="8">
        <f t="shared" si="10"/>
        <v>3770000</v>
      </c>
      <c r="R41" s="8">
        <f t="shared" si="10"/>
        <v>3770000</v>
      </c>
      <c r="S41" s="8">
        <f t="shared" si="10"/>
        <v>3770000</v>
      </c>
      <c r="T41" s="8">
        <f t="shared" si="10"/>
        <v>3770000</v>
      </c>
      <c r="U41" s="8">
        <f t="shared" si="10"/>
        <v>3770000</v>
      </c>
    </row>
    <row r="42" ht="21" spans="2:21">
      <c r="B42" s="26">
        <v>1</v>
      </c>
      <c r="C42" s="27">
        <f>C41</f>
        <v>10920000</v>
      </c>
      <c r="D42" s="29">
        <f>F42</f>
        <v>982800</v>
      </c>
      <c r="E42" s="28"/>
      <c r="F42" s="27">
        <f>C41*$D$38</f>
        <v>982800</v>
      </c>
      <c r="G42" s="4" t="s">
        <v>22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ht="21" spans="2:21">
      <c r="B43" s="26">
        <v>2</v>
      </c>
      <c r="C43" s="27">
        <f>C42</f>
        <v>10920000</v>
      </c>
      <c r="D43" s="29">
        <f>F43</f>
        <v>982800</v>
      </c>
      <c r="E43" s="28"/>
      <c r="F43" s="27">
        <f t="shared" ref="F43:F49" si="11">C42*$D$38</f>
        <v>982800</v>
      </c>
      <c r="G43" s="4" t="s">
        <v>24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ht="21" spans="2:21">
      <c r="B44" s="26">
        <v>3</v>
      </c>
      <c r="C44" s="27">
        <f t="shared" ref="C44:C48" si="12">C43-E44</f>
        <v>9095350.37003235</v>
      </c>
      <c r="D44" s="27">
        <f>-PMT($D$38,5,$D$37)</f>
        <v>2807449.62996765</v>
      </c>
      <c r="E44" s="27">
        <f t="shared" ref="E44:E48" si="13">D44-F44</f>
        <v>1824649.62996765</v>
      </c>
      <c r="F44" s="27">
        <f>C43*$D$38</f>
        <v>982800</v>
      </c>
      <c r="G44" s="4" t="s">
        <v>26</v>
      </c>
      <c r="H44" s="11"/>
      <c r="I44" s="11">
        <f>$D$3*$D$10</f>
        <v>3360000</v>
      </c>
      <c r="J44" s="11">
        <f>$D$3*$D$10</f>
        <v>3360000</v>
      </c>
      <c r="K44" s="11">
        <f>$D$3*$D$10</f>
        <v>3360000</v>
      </c>
      <c r="L44" s="11">
        <f>$D$3*$D$10</f>
        <v>3360000</v>
      </c>
      <c r="M44" s="11">
        <f>$D$3*$D$10</f>
        <v>3360000</v>
      </c>
      <c r="N44" s="11"/>
      <c r="O44" s="11"/>
      <c r="P44" s="11"/>
      <c r="Q44" s="11"/>
      <c r="R44" s="11"/>
      <c r="S44" s="11"/>
      <c r="T44" s="11"/>
      <c r="U44" s="11"/>
    </row>
    <row r="45" ht="21" spans="2:21">
      <c r="B45" s="26">
        <v>4</v>
      </c>
      <c r="C45" s="27">
        <f t="shared" si="12"/>
        <v>7106482.2733676</v>
      </c>
      <c r="D45" s="27">
        <f>-PMT($D$38,5,$D$37)</f>
        <v>2807449.62996765</v>
      </c>
      <c r="E45" s="27">
        <f t="shared" si="13"/>
        <v>1988868.09666474</v>
      </c>
      <c r="F45" s="27">
        <f t="shared" si="11"/>
        <v>818581.533302911</v>
      </c>
      <c r="G45" s="7" t="s">
        <v>29</v>
      </c>
      <c r="H45" s="8"/>
      <c r="I45" s="8">
        <f t="shared" ref="I45:U45" si="14">I41-I42-I43-I44</f>
        <v>410000</v>
      </c>
      <c r="J45" s="8">
        <f t="shared" si="14"/>
        <v>410000</v>
      </c>
      <c r="K45" s="8">
        <f t="shared" si="14"/>
        <v>410000</v>
      </c>
      <c r="L45" s="8">
        <f t="shared" si="14"/>
        <v>410000</v>
      </c>
      <c r="M45" s="8">
        <f t="shared" si="14"/>
        <v>410000</v>
      </c>
      <c r="N45" s="8">
        <f t="shared" si="14"/>
        <v>3770000</v>
      </c>
      <c r="O45" s="8">
        <f t="shared" si="14"/>
        <v>3770000</v>
      </c>
      <c r="P45" s="8">
        <f t="shared" si="14"/>
        <v>3770000</v>
      </c>
      <c r="Q45" s="8">
        <f t="shared" si="14"/>
        <v>3770000</v>
      </c>
      <c r="R45" s="8">
        <f t="shared" si="14"/>
        <v>3770000</v>
      </c>
      <c r="S45" s="8">
        <f t="shared" si="14"/>
        <v>3770000</v>
      </c>
      <c r="T45" s="8">
        <f t="shared" si="14"/>
        <v>3770000</v>
      </c>
      <c r="U45" s="8">
        <f t="shared" si="14"/>
        <v>3770000</v>
      </c>
    </row>
    <row r="46" ht="21" spans="2:21">
      <c r="B46" s="26">
        <v>5</v>
      </c>
      <c r="C46" s="27">
        <f t="shared" si="12"/>
        <v>4938616.04800303</v>
      </c>
      <c r="D46" s="27">
        <f>-PMT($D$38,5,$D$37)</f>
        <v>2807449.62996765</v>
      </c>
      <c r="E46" s="27">
        <f t="shared" si="13"/>
        <v>2167866.22536457</v>
      </c>
      <c r="F46" s="27">
        <f t="shared" si="11"/>
        <v>639583.404603084</v>
      </c>
      <c r="G46" s="4" t="s">
        <v>31</v>
      </c>
      <c r="H46" s="11"/>
      <c r="I46" s="37" cm="1">
        <f t="array" ref="I46:O46">TRANSPOSE(F42:F48)</f>
        <v>982800</v>
      </c>
      <c r="J46" s="37">
        <v>982800</v>
      </c>
      <c r="K46" s="37">
        <v>982800</v>
      </c>
      <c r="L46" s="37">
        <v>818581.533302911</v>
      </c>
      <c r="M46" s="37">
        <v>639583.404603084</v>
      </c>
      <c r="N46" s="11">
        <v>444475.444320273</v>
      </c>
      <c r="O46" s="11">
        <v>231807.767612009</v>
      </c>
      <c r="P46" s="11"/>
      <c r="Q46" s="11"/>
      <c r="R46" s="11"/>
      <c r="S46" s="11"/>
      <c r="T46" s="11"/>
      <c r="U46" s="11"/>
    </row>
    <row r="47" ht="21" spans="2:21">
      <c r="B47" s="26">
        <v>6</v>
      </c>
      <c r="C47" s="27">
        <f t="shared" si="12"/>
        <v>2575641.86235565</v>
      </c>
      <c r="D47" s="27">
        <f>-PMT($D$38,5,$D$37)</f>
        <v>2807449.62996765</v>
      </c>
      <c r="E47" s="27">
        <f t="shared" si="13"/>
        <v>2362974.18564738</v>
      </c>
      <c r="F47" s="27">
        <f t="shared" si="11"/>
        <v>444475.444320273</v>
      </c>
      <c r="G47" s="30" t="s">
        <v>34</v>
      </c>
      <c r="H47" s="8"/>
      <c r="I47" s="8">
        <f>I45-I46</f>
        <v>-572800</v>
      </c>
      <c r="J47" s="8">
        <f t="shared" ref="J47:U47" si="15">J45-J46</f>
        <v>-572800</v>
      </c>
      <c r="K47" s="8">
        <f t="shared" si="15"/>
        <v>-572800</v>
      </c>
      <c r="L47" s="8">
        <f t="shared" si="15"/>
        <v>-408581.533302911</v>
      </c>
      <c r="M47" s="8">
        <f t="shared" si="15"/>
        <v>-229583.404603084</v>
      </c>
      <c r="N47" s="8">
        <f t="shared" si="15"/>
        <v>3325524.55567973</v>
      </c>
      <c r="O47" s="8">
        <f t="shared" si="15"/>
        <v>3538192.23238799</v>
      </c>
      <c r="P47" s="8">
        <f t="shared" si="15"/>
        <v>3770000</v>
      </c>
      <c r="Q47" s="8">
        <f t="shared" si="15"/>
        <v>3770000</v>
      </c>
      <c r="R47" s="8">
        <f t="shared" si="15"/>
        <v>3770000</v>
      </c>
      <c r="S47" s="8">
        <f t="shared" si="15"/>
        <v>3770000</v>
      </c>
      <c r="T47" s="8">
        <f t="shared" si="15"/>
        <v>3770000</v>
      </c>
      <c r="U47" s="8">
        <f t="shared" si="15"/>
        <v>3770000</v>
      </c>
    </row>
    <row r="48" ht="21" spans="2:21">
      <c r="B48" s="26">
        <v>7</v>
      </c>
      <c r="C48" s="27">
        <f t="shared" si="12"/>
        <v>8.38190317153931e-9</v>
      </c>
      <c r="D48" s="27">
        <f>-PMT($D$38,5,$D$37)</f>
        <v>2807449.62996765</v>
      </c>
      <c r="E48" s="27">
        <f t="shared" si="13"/>
        <v>2575641.86235564</v>
      </c>
      <c r="F48" s="27">
        <f t="shared" si="11"/>
        <v>231807.767612009</v>
      </c>
      <c r="G48" s="4" t="s">
        <v>36</v>
      </c>
      <c r="H48" s="11"/>
      <c r="I48" s="11"/>
      <c r="J48" s="11"/>
      <c r="K48" s="11"/>
      <c r="L48" s="11"/>
      <c r="M48" s="11"/>
      <c r="N48" s="11">
        <f>N47*$D$11</f>
        <v>731615.40224954</v>
      </c>
      <c r="O48" s="11">
        <f t="shared" ref="O48:U48" si="16">O47*$D$11</f>
        <v>778402.291125358</v>
      </c>
      <c r="P48" s="11">
        <f t="shared" si="16"/>
        <v>829400</v>
      </c>
      <c r="Q48" s="11">
        <f t="shared" si="16"/>
        <v>829400</v>
      </c>
      <c r="R48" s="11">
        <f t="shared" si="16"/>
        <v>829400</v>
      </c>
      <c r="S48" s="11">
        <f t="shared" si="16"/>
        <v>829400</v>
      </c>
      <c r="T48" s="11">
        <f t="shared" si="16"/>
        <v>829400</v>
      </c>
      <c r="U48" s="11">
        <f t="shared" si="16"/>
        <v>829400</v>
      </c>
    </row>
    <row r="49" ht="21" spans="2:21">
      <c r="B49" s="28"/>
      <c r="C49" s="28"/>
      <c r="D49" s="28"/>
      <c r="E49" s="28"/>
      <c r="F49" s="27"/>
      <c r="G49" s="7" t="s">
        <v>38</v>
      </c>
      <c r="H49" s="8"/>
      <c r="I49" s="8">
        <f>I47-I48</f>
        <v>-572800</v>
      </c>
      <c r="J49" s="8">
        <f t="shared" ref="J49:U49" si="17">J47-J48</f>
        <v>-572800</v>
      </c>
      <c r="K49" s="8">
        <f t="shared" si="17"/>
        <v>-572800</v>
      </c>
      <c r="L49" s="8">
        <f t="shared" si="17"/>
        <v>-408581.533302911</v>
      </c>
      <c r="M49" s="8">
        <f t="shared" si="17"/>
        <v>-229583.404603084</v>
      </c>
      <c r="N49" s="8">
        <f t="shared" si="17"/>
        <v>2593909.15343019</v>
      </c>
      <c r="O49" s="8">
        <f t="shared" si="17"/>
        <v>2759789.94126263</v>
      </c>
      <c r="P49" s="8">
        <f t="shared" si="17"/>
        <v>2940600</v>
      </c>
      <c r="Q49" s="8">
        <f t="shared" si="17"/>
        <v>2940600</v>
      </c>
      <c r="R49" s="8">
        <f t="shared" si="17"/>
        <v>2940600</v>
      </c>
      <c r="S49" s="8">
        <f t="shared" si="17"/>
        <v>2940600</v>
      </c>
      <c r="T49" s="8">
        <f t="shared" si="17"/>
        <v>2940600</v>
      </c>
      <c r="U49" s="8">
        <f t="shared" si="17"/>
        <v>2940600</v>
      </c>
    </row>
    <row r="50" ht="21" spans="7:21">
      <c r="G50" s="4" t="s">
        <v>40</v>
      </c>
      <c r="H50" s="11"/>
      <c r="I50" s="11">
        <f>I44</f>
        <v>3360000</v>
      </c>
      <c r="J50" s="11">
        <f>J44</f>
        <v>3360000</v>
      </c>
      <c r="K50" s="11">
        <f>K44</f>
        <v>3360000</v>
      </c>
      <c r="L50" s="11">
        <f>L44</f>
        <v>3360000</v>
      </c>
      <c r="M50" s="11">
        <f>M44</f>
        <v>3360000</v>
      </c>
      <c r="N50" s="11"/>
      <c r="O50" s="11"/>
      <c r="P50" s="11"/>
      <c r="Q50" s="11"/>
      <c r="R50" s="11"/>
      <c r="S50" s="11"/>
      <c r="T50" s="11"/>
      <c r="U50" s="11"/>
    </row>
    <row r="51" ht="21" spans="4:21">
      <c r="D51" s="31">
        <f>NPV(D38,D42:D50)</f>
        <v>10920000</v>
      </c>
      <c r="G51" s="4" t="s">
        <v>41</v>
      </c>
      <c r="H51" s="11"/>
      <c r="I51" s="37" cm="1">
        <f t="array" ref="I51:O51">TRANSPOSE(E42:E48)</f>
        <v>0</v>
      </c>
      <c r="J51" s="37">
        <v>0</v>
      </c>
      <c r="K51" s="37">
        <v>1824649.62996765</v>
      </c>
      <c r="L51" s="37">
        <v>1988868.09666474</v>
      </c>
      <c r="M51" s="37">
        <v>2167866.22536457</v>
      </c>
      <c r="N51" s="37">
        <v>2362974.18564738</v>
      </c>
      <c r="O51" s="37">
        <v>2575641.86235564</v>
      </c>
      <c r="P51" s="37"/>
      <c r="Q51" s="37"/>
      <c r="R51" s="37"/>
      <c r="S51" s="37"/>
      <c r="T51" s="37"/>
      <c r="U51" s="37"/>
    </row>
    <row r="52" ht="21" spans="7:21">
      <c r="G52" s="4" t="s">
        <v>42</v>
      </c>
      <c r="H52" s="11">
        <f>D35</f>
        <v>16800000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ht="21" spans="7:21">
      <c r="G53" s="32" t="s">
        <v>43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ht="21" spans="3:21">
      <c r="C54" s="4" t="s">
        <v>52</v>
      </c>
      <c r="D54" s="33">
        <f>IRR(H56:U56)</f>
        <v>0.317704745599366</v>
      </c>
      <c r="G54" s="32" t="s">
        <v>61</v>
      </c>
      <c r="H54" s="11">
        <f>D37</f>
        <v>10920000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ht="21" spans="3:21">
      <c r="C55" s="4" t="s">
        <v>53</v>
      </c>
      <c r="D55" s="34">
        <f>NPV(D15,I56:U56)+H56</f>
        <v>6517018.68140467</v>
      </c>
      <c r="G55" s="4" t="s">
        <v>44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38">
        <f>U22</f>
        <v>760500</v>
      </c>
    </row>
    <row r="56" ht="21" spans="7:21">
      <c r="G56" s="7" t="s">
        <v>45</v>
      </c>
      <c r="H56" s="8">
        <f>H49+H50-H51-H52-H53+H54+H55</f>
        <v>-5880000</v>
      </c>
      <c r="I56" s="8">
        <f t="shared" ref="I56:U56" si="18">I49+I50-I51-I52-I53+I54+I55</f>
        <v>2787200</v>
      </c>
      <c r="J56" s="8">
        <f t="shared" si="18"/>
        <v>2787200</v>
      </c>
      <c r="K56" s="8">
        <f t="shared" si="18"/>
        <v>962550.370032346</v>
      </c>
      <c r="L56" s="8">
        <f t="shared" si="18"/>
        <v>962550.370032346</v>
      </c>
      <c r="M56" s="8">
        <f t="shared" si="18"/>
        <v>962550.370032346</v>
      </c>
      <c r="N56" s="8">
        <f t="shared" si="18"/>
        <v>230934.967782807</v>
      </c>
      <c r="O56" s="8">
        <f t="shared" si="18"/>
        <v>184148.078906988</v>
      </c>
      <c r="P56" s="8">
        <f t="shared" si="18"/>
        <v>2940600</v>
      </c>
      <c r="Q56" s="8">
        <f t="shared" si="18"/>
        <v>2940600</v>
      </c>
      <c r="R56" s="8">
        <f t="shared" si="18"/>
        <v>2940600</v>
      </c>
      <c r="S56" s="8">
        <f t="shared" si="18"/>
        <v>2940600</v>
      </c>
      <c r="T56" s="8">
        <f t="shared" si="18"/>
        <v>2940600</v>
      </c>
      <c r="U56" s="8">
        <f t="shared" si="18"/>
        <v>3701100</v>
      </c>
    </row>
  </sheetData>
  <mergeCells count="9">
    <mergeCell ref="G25:M25"/>
    <mergeCell ref="H26:I26"/>
    <mergeCell ref="J26:K26"/>
    <mergeCell ref="L26:M26"/>
    <mergeCell ref="N26:O26"/>
    <mergeCell ref="H27:I27"/>
    <mergeCell ref="J27:K27"/>
    <mergeCell ref="L27:M27"/>
    <mergeCell ref="N27:O27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Questão1</vt:lpstr>
      <vt:lpstr>Questão2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pehen</cp:lastModifiedBy>
  <dcterms:created xsi:type="dcterms:W3CDTF">2025-06-26T18:44:38Z</dcterms:created>
  <dcterms:modified xsi:type="dcterms:W3CDTF">2025-06-26T20:27:17Z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B5CB12D6B28E4A4780310FA603EEB289_12</vt:lpwstr>
  </property>
  <property fmtid="{D5CDD505-2E9C-101B-9397-08002B2CF9AE}" pid="3" name="KSOProductBuildVer">
    <vt:lpwstr>1046-12.2.0.21546</vt:lpwstr>
  </property>
</Properties>
</file>