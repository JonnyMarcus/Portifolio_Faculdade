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IEPG10\Aula 4 2022.2\"/>
    </mc:Choice>
  </mc:AlternateContent>
  <xr:revisionPtr revIDLastSave="0" documentId="13_ncr:1_{F16EDAB5-E1E8-47F4-A9E3-CA52DE21A48C}" xr6:coauthVersionLast="47" xr6:coauthVersionMax="47" xr10:uidLastSave="{00000000-0000-0000-0000-000000000000}"/>
  <bookViews>
    <workbookView xWindow="-108" yWindow="-108" windowWidth="23256" windowHeight="12576" tabRatio="759" activeTab="7" xr2:uid="{00000000-000D-0000-FFFF-FFFF00000000}"/>
  </bookViews>
  <sheets>
    <sheet name="Exemplo I" sheetId="17" r:id="rId1"/>
    <sheet name="Exemplo II" sheetId="2" r:id="rId2"/>
    <sheet name="Exemplo III" sheetId="1" r:id="rId3"/>
    <sheet name="Exemplo IV" sheetId="7" r:id="rId4"/>
    <sheet name="Exemplo V" sheetId="8" r:id="rId5"/>
    <sheet name="Exemplo VI" sheetId="9" r:id="rId6"/>
    <sheet name="Exemplo VII" sheetId="10" r:id="rId7"/>
    <sheet name="Exemplo VIII" sheetId="11" r:id="rId8"/>
    <sheet name="Exemplo IX" sheetId="12" r:id="rId9"/>
    <sheet name="Exemplo X" sheetId="13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3" i="13" l="1"/>
  <c r="O8" i="13"/>
  <c r="O4" i="13"/>
  <c r="O18" i="12"/>
  <c r="O11" i="12"/>
  <c r="O15" i="11"/>
  <c r="O17" i="11" s="1"/>
  <c r="O11" i="11"/>
  <c r="O12" i="10"/>
  <c r="O16" i="10" s="1"/>
  <c r="O19" i="10" s="1"/>
  <c r="O16" i="9"/>
  <c r="O18" i="9" s="1"/>
  <c r="O12" i="9"/>
  <c r="P9" i="8" l="1"/>
  <c r="P10" i="8" s="1"/>
  <c r="P7" i="8"/>
  <c r="O9" i="8"/>
  <c r="O10" i="8" s="1"/>
  <c r="O8" i="8"/>
  <c r="O11" i="7"/>
  <c r="O13" i="7" s="1"/>
  <c r="Q16" i="1"/>
  <c r="Q20" i="1" s="1"/>
  <c r="Q8" i="1"/>
  <c r="O10" i="2"/>
  <c r="O7" i="2"/>
  <c r="O9" i="2" s="1"/>
  <c r="O6" i="17"/>
  <c r="O22" i="17" s="1"/>
  <c r="P13" i="8" l="1"/>
  <c r="P11" i="8"/>
  <c r="O13" i="8"/>
  <c r="O11" i="8"/>
  <c r="O24" i="17"/>
  <c r="O26" i="17" s="1"/>
  <c r="O8" i="17"/>
  <c r="O12" i="7"/>
</calcChain>
</file>

<file path=xl/sharedStrings.xml><?xml version="1.0" encoding="utf-8"?>
<sst xmlns="http://schemas.openxmlformats.org/spreadsheetml/2006/main" count="138" uniqueCount="45">
  <si>
    <t xml:space="preserve">Converte taxa Nominal em </t>
  </si>
  <si>
    <t>Converte taxas Efetivas em períodos de tempo diferentes!</t>
  </si>
  <si>
    <t>$/ano</t>
  </si>
  <si>
    <t>PGTO</t>
  </si>
  <si>
    <t>n</t>
  </si>
  <si>
    <t>anos</t>
  </si>
  <si>
    <t>i</t>
  </si>
  <si>
    <t>am</t>
  </si>
  <si>
    <t>aa</t>
  </si>
  <si>
    <t>VF</t>
  </si>
  <si>
    <t>VF (data 9)</t>
  </si>
  <si>
    <t>VF (data 10)</t>
  </si>
  <si>
    <t>$</t>
  </si>
  <si>
    <t>$/mês</t>
  </si>
  <si>
    <t>(data 2)</t>
  </si>
  <si>
    <t>ERRO</t>
  </si>
  <si>
    <t>1a. Etapa</t>
  </si>
  <si>
    <t>VP</t>
  </si>
  <si>
    <t>VF (data 7)</t>
  </si>
  <si>
    <t>2a. Etapa</t>
  </si>
  <si>
    <t>Data</t>
  </si>
  <si>
    <t>FC</t>
  </si>
  <si>
    <t>$/ANO</t>
  </si>
  <si>
    <t>VP (data 1)</t>
  </si>
  <si>
    <t>$/3anos</t>
  </si>
  <si>
    <t>Erro</t>
  </si>
  <si>
    <t>a3a</t>
  </si>
  <si>
    <t>1o. Caso</t>
  </si>
  <si>
    <t>2o. Caso</t>
  </si>
  <si>
    <t>g</t>
  </si>
  <si>
    <t>VP (data 0)</t>
  </si>
  <si>
    <t>(Sem Crescimento)</t>
  </si>
  <si>
    <t>(Com Crescimento)</t>
  </si>
  <si>
    <t>Não confundir conversão de taxa nominal em efetiva com</t>
  </si>
  <si>
    <t>(Equivalentes!)</t>
  </si>
  <si>
    <t>aacm</t>
  </si>
  <si>
    <t>Nominal</t>
  </si>
  <si>
    <t>Efetiva</t>
  </si>
  <si>
    <t>aact</t>
  </si>
  <si>
    <t>iN</t>
  </si>
  <si>
    <t>iE</t>
  </si>
  <si>
    <t>iEa</t>
  </si>
  <si>
    <t>iEm</t>
  </si>
  <si>
    <t>Efetivas!</t>
  </si>
  <si>
    <t>conversão de taxas efetivas!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</si>
</sst>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R$&quot;#,##0.00;[Red]\-&quot;R$&quot;#,##0.00"/>
    <numFmt numFmtId="165" formatCode="_-&quot;R$&quot;* #,##0.00_-;\-&quot;R$&quot;* #,##0.00_-;_-&quot;R$&quot;* &quot;-&quot;??_-;_-@_-"/>
    <numFmt numFmtId="166" formatCode="0.0000%"/>
    <numFmt numFmtId="167" formatCode="0.000%"/>
    <numFmt numFmtId="168" formatCode="_-* #,##0_-;\-* #,##0_-;_-* &quot;-&quot;??_-;_-@_-"/>
    <numFmt numFmtId="169" formatCode="#,##0_ ;\-#,##0\ "/>
    <numFmt numFmtId="170" formatCode="_-&quot;R$&quot;* #,##0.00_-;\-&quot;R$&quot;* #,##0.00_-;_-&quot;R$&quot;* &quot;-&quot;???_-;_-@_-"/>
  </numFmts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10" fontId="1" fillId="0" borderId="0" xfId="0" applyNumberFormat="1" applyFont="1" applyFill="1"/>
    <xf numFmtId="164" fontId="1" fillId="0" borderId="0" xfId="0" applyNumberFormat="1" applyFont="1" applyFill="1"/>
    <xf numFmtId="0" fontId="1" fillId="0" borderId="0" xfId="0" applyNumberFormat="1" applyFont="1" applyFill="1"/>
    <xf numFmtId="165" fontId="1" fillId="0" borderId="0" xfId="0" applyNumberFormat="1" applyFont="1" applyFill="1"/>
    <xf numFmtId="166" fontId="1" fillId="0" borderId="0" xfId="0" applyNumberFormat="1" applyFont="1" applyFill="1"/>
    <xf numFmtId="0" fontId="1" fillId="2" borderId="0" xfId="0" applyFont="1" applyFill="1" applyAlignment="1"/>
    <xf numFmtId="0" fontId="4" fillId="2" borderId="0" xfId="0" applyFont="1" applyFill="1"/>
    <xf numFmtId="167" fontId="1" fillId="0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165" fontId="4" fillId="0" borderId="0" xfId="0" applyNumberFormat="1" applyFont="1" applyFill="1"/>
    <xf numFmtId="165" fontId="1" fillId="0" borderId="0" xfId="1" applyFont="1"/>
    <xf numFmtId="10" fontId="1" fillId="0" borderId="0" xfId="0" applyNumberFormat="1" applyFont="1"/>
    <xf numFmtId="164" fontId="1" fillId="0" borderId="0" xfId="0" applyNumberFormat="1" applyFont="1"/>
    <xf numFmtId="165" fontId="1" fillId="0" borderId="0" xfId="1" applyFont="1" applyFill="1"/>
    <xf numFmtId="168" fontId="1" fillId="0" borderId="0" xfId="3" applyNumberFormat="1" applyFont="1" applyFill="1"/>
    <xf numFmtId="10" fontId="1" fillId="0" borderId="0" xfId="2" applyNumberFormat="1" applyFont="1" applyFill="1"/>
    <xf numFmtId="9" fontId="1" fillId="0" borderId="0" xfId="2" applyNumberFormat="1" applyFont="1" applyFill="1"/>
    <xf numFmtId="0" fontId="1" fillId="4" borderId="0" xfId="0" applyNumberFormat="1" applyFont="1" applyFill="1"/>
    <xf numFmtId="164" fontId="1" fillId="3" borderId="0" xfId="0" applyNumberFormat="1" applyFont="1" applyFill="1"/>
    <xf numFmtId="0" fontId="1" fillId="5" borderId="0" xfId="1" applyNumberFormat="1" applyFont="1" applyFill="1" applyAlignment="1">
      <alignment horizontal="center"/>
    </xf>
    <xf numFmtId="9" fontId="1" fillId="0" borderId="0" xfId="0" applyNumberFormat="1" applyFont="1" applyFill="1"/>
    <xf numFmtId="165" fontId="1" fillId="0" borderId="0" xfId="0" applyNumberFormat="1" applyFont="1" applyFill="1" applyAlignment="1">
      <alignment horizontal="center"/>
    </xf>
    <xf numFmtId="169" fontId="1" fillId="0" borderId="0" xfId="3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/>
    <xf numFmtId="0" fontId="1" fillId="0" borderId="0" xfId="0" applyFont="1" applyAlignment="1">
      <alignment horizontal="center"/>
    </xf>
    <xf numFmtId="165" fontId="4" fillId="0" borderId="0" xfId="1" applyFont="1" applyFill="1"/>
    <xf numFmtId="166" fontId="1" fillId="0" borderId="0" xfId="0" applyNumberFormat="1" applyFont="1" applyFill="1" applyAlignment="1">
      <alignment horizontal="center"/>
    </xf>
    <xf numFmtId="165" fontId="1" fillId="0" borderId="0" xfId="0" applyNumberFormat="1" applyFont="1"/>
    <xf numFmtId="10" fontId="1" fillId="0" borderId="0" xfId="2" applyNumberFormat="1" applyFont="1"/>
    <xf numFmtId="167" fontId="1" fillId="0" borderId="0" xfId="2" applyNumberFormat="1" applyFont="1"/>
    <xf numFmtId="170" fontId="1" fillId="0" borderId="0" xfId="0" applyNumberFormat="1" applyFont="1"/>
    <xf numFmtId="164" fontId="1" fillId="5" borderId="0" xfId="0" applyNumberFormat="1" applyFont="1" applyFill="1"/>
    <xf numFmtId="165" fontId="1" fillId="4" borderId="0" xfId="0" applyNumberFormat="1" applyFont="1" applyFill="1"/>
    <xf numFmtId="165" fontId="1" fillId="4" borderId="0" xfId="1" applyFont="1" applyFill="1"/>
    <xf numFmtId="167" fontId="1" fillId="0" borderId="0" xfId="2" applyNumberFormat="1" applyFont="1" applyFill="1"/>
    <xf numFmtId="10" fontId="1" fillId="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wmf"/><Relationship Id="rId1" Type="http://schemas.openxmlformats.org/officeDocument/2006/relationships/image" Target="../media/image8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wmf"/><Relationship Id="rId1" Type="http://schemas.openxmlformats.org/officeDocument/2006/relationships/image" Target="../media/image10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9.w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9.wmf"/><Relationship Id="rId1" Type="http://schemas.openxmlformats.org/officeDocument/2006/relationships/image" Target="../media/image12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0</xdr:rowOff>
    </xdr:from>
    <xdr:to>
      <xdr:col>11</xdr:col>
      <xdr:colOff>272660</xdr:colOff>
      <xdr:row>14</xdr:row>
      <xdr:rowOff>101600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0"/>
          <a:ext cx="6819510" cy="427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15</xdr:row>
      <xdr:rowOff>222250</xdr:rowOff>
    </xdr:from>
    <xdr:to>
      <xdr:col>10</xdr:col>
      <xdr:colOff>499833</xdr:colOff>
      <xdr:row>29</xdr:row>
      <xdr:rowOff>217692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4699000"/>
          <a:ext cx="6557733" cy="4173742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29</xdr:row>
      <xdr:rowOff>184150</xdr:rowOff>
    </xdr:from>
    <xdr:to>
      <xdr:col>11</xdr:col>
      <xdr:colOff>61441</xdr:colOff>
      <xdr:row>32</xdr:row>
      <xdr:rowOff>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8839200"/>
          <a:ext cx="6703541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539750</xdr:colOff>
      <xdr:row>21</xdr:row>
      <xdr:rowOff>273050</xdr:rowOff>
    </xdr:from>
    <xdr:to>
      <xdr:col>7</xdr:col>
      <xdr:colOff>546100</xdr:colOff>
      <xdr:row>24</xdr:row>
      <xdr:rowOff>133350</xdr:rowOff>
    </xdr:to>
    <xdr:sp macro="" textlink="">
      <xdr:nvSpPr>
        <xdr:cNvPr id="18" name="Line 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 flipH="1" flipV="1">
          <a:off x="4806950" y="6540500"/>
          <a:ext cx="6350" cy="755650"/>
        </a:xfrm>
        <a:prstGeom prst="line">
          <a:avLst/>
        </a:prstGeom>
        <a:noFill/>
        <a:ln w="50800">
          <a:solidFill>
            <a:srgbClr val="0000FF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6</xdr:col>
      <xdr:colOff>336550</xdr:colOff>
      <xdr:row>20</xdr:row>
      <xdr:rowOff>279400</xdr:rowOff>
    </xdr:from>
    <xdr:to>
      <xdr:col>8</xdr:col>
      <xdr:colOff>565150</xdr:colOff>
      <xdr:row>22</xdr:row>
      <xdr:rowOff>16310</xdr:rowOff>
    </xdr:to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3994150" y="6248400"/>
          <a:ext cx="1447800" cy="33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92075" tIns="46038" rIns="92075" bIns="46038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r>
            <a:rPr lang="pt-BR" altLang="pt-BR" sz="1600" b="1">
              <a:solidFill>
                <a:srgbClr val="3333CC"/>
              </a:solidFill>
              <a:latin typeface="Bookman Old Style" panose="02050604050505020204" pitchFamily="18" charset="0"/>
            </a:rPr>
            <a:t>295533,24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14</xdr:row>
      <xdr:rowOff>114300</xdr:rowOff>
    </xdr:from>
    <xdr:to>
      <xdr:col>11</xdr:col>
      <xdr:colOff>340841</xdr:colOff>
      <xdr:row>16</xdr:row>
      <xdr:rowOff>228600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292600"/>
          <a:ext cx="6703541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127000</xdr:colOff>
      <xdr:row>0</xdr:row>
      <xdr:rowOff>0</xdr:rowOff>
    </xdr:from>
    <xdr:to>
      <xdr:col>10</xdr:col>
      <xdr:colOff>516073</xdr:colOff>
      <xdr:row>13</xdr:row>
      <xdr:rowOff>179070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0"/>
          <a:ext cx="6485073" cy="4058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3</xdr:row>
      <xdr:rowOff>115106</xdr:rowOff>
    </xdr:from>
    <xdr:to>
      <xdr:col>14</xdr:col>
      <xdr:colOff>46792</xdr:colOff>
      <xdr:row>16</xdr:row>
      <xdr:rowOff>165100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1010456"/>
          <a:ext cx="6257092" cy="3929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450850</xdr:colOff>
      <xdr:row>0</xdr:row>
      <xdr:rowOff>84674</xdr:rowOff>
    </xdr:from>
    <xdr:to>
      <xdr:col>11</xdr:col>
      <xdr:colOff>230810</xdr:colOff>
      <xdr:row>14</xdr:row>
      <xdr:rowOff>19050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850" y="84674"/>
          <a:ext cx="6485560" cy="4112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234949</xdr:colOff>
      <xdr:row>0</xdr:row>
      <xdr:rowOff>0</xdr:rowOff>
    </xdr:from>
    <xdr:to>
      <xdr:col>11</xdr:col>
      <xdr:colOff>12700</xdr:colOff>
      <xdr:row>14</xdr:row>
      <xdr:rowOff>241512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49" y="0"/>
          <a:ext cx="6483351" cy="4419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114300</xdr:rowOff>
    </xdr:from>
    <xdr:to>
      <xdr:col>11</xdr:col>
      <xdr:colOff>184151</xdr:colOff>
      <xdr:row>13</xdr:row>
      <xdr:rowOff>232516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4300"/>
          <a:ext cx="6889750" cy="3998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12700</xdr:colOff>
      <xdr:row>13</xdr:row>
      <xdr:rowOff>215900</xdr:rowOff>
    </xdr:from>
    <xdr:to>
      <xdr:col>7</xdr:col>
      <xdr:colOff>587375</xdr:colOff>
      <xdr:row>18</xdr:row>
      <xdr:rowOff>136525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1100" y="4095750"/>
          <a:ext cx="2403475" cy="141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63500</xdr:rowOff>
    </xdr:from>
    <xdr:to>
      <xdr:col>10</xdr:col>
      <xdr:colOff>318686</xdr:colOff>
      <xdr:row>15</xdr:row>
      <xdr:rowOff>234950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"/>
          <a:ext cx="6414686" cy="434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234950</xdr:colOff>
      <xdr:row>15</xdr:row>
      <xdr:rowOff>127000</xdr:rowOff>
    </xdr:from>
    <xdr:to>
      <xdr:col>7</xdr:col>
      <xdr:colOff>200025</xdr:colOff>
      <xdr:row>20</xdr:row>
      <xdr:rowOff>47625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4603750"/>
          <a:ext cx="2403475" cy="141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19050</xdr:colOff>
      <xdr:row>18</xdr:row>
      <xdr:rowOff>88900</xdr:rowOff>
    </xdr:from>
    <xdr:to>
      <xdr:col>10</xdr:col>
      <xdr:colOff>25400</xdr:colOff>
      <xdr:row>21</xdr:row>
      <xdr:rowOff>114300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ShapeType="1"/>
        </xdr:cNvSpPr>
      </xdr:nvSpPr>
      <xdr:spPr bwMode="auto">
        <a:xfrm flipV="1">
          <a:off x="6115050" y="5461000"/>
          <a:ext cx="6350" cy="920750"/>
        </a:xfrm>
        <a:prstGeom prst="line">
          <a:avLst/>
        </a:prstGeom>
        <a:noFill/>
        <a:ln w="50800">
          <a:solidFill>
            <a:srgbClr val="0000FF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 anchor="ctr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8</xdr:col>
      <xdr:colOff>596900</xdr:colOff>
      <xdr:row>17</xdr:row>
      <xdr:rowOff>127000</xdr:rowOff>
    </xdr:from>
    <xdr:to>
      <xdr:col>11</xdr:col>
      <xdr:colOff>215900</xdr:colOff>
      <xdr:row>18</xdr:row>
      <xdr:rowOff>162360</xdr:rowOff>
    </xdr:to>
    <xdr:sp macro="" textlink="">
      <xdr:nvSpPr>
        <xdr:cNvPr id="6" name="Rectangle 1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5473700" y="5200650"/>
          <a:ext cx="1447800" cy="33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92075" tIns="46038" rIns="92075" bIns="46038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2400" kern="120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+mn-cs"/>
            </a:defRPr>
          </a:lvl9pPr>
        </a:lstStyle>
        <a:p>
          <a:r>
            <a:rPr lang="pt-BR" altLang="pt-BR" sz="1600" b="1">
              <a:solidFill>
                <a:srgbClr val="FF0000"/>
              </a:solidFill>
              <a:latin typeface="Bookman Old Style" panose="02050604050505020204" pitchFamily="18" charset="0"/>
            </a:rPr>
            <a:t>100.000,00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177800</xdr:colOff>
      <xdr:row>13</xdr:row>
      <xdr:rowOff>222250</xdr:rowOff>
    </xdr:from>
    <xdr:to>
      <xdr:col>8</xdr:col>
      <xdr:colOff>142875</xdr:colOff>
      <xdr:row>18</xdr:row>
      <xdr:rowOff>142875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6200" y="4102100"/>
          <a:ext cx="2403475" cy="141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1</xdr:row>
      <xdr:rowOff>266700</xdr:rowOff>
    </xdr:from>
    <xdr:to>
      <xdr:col>12</xdr:col>
      <xdr:colOff>60960</xdr:colOff>
      <xdr:row>12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906F30E-4336-0DB8-ADA2-2AA9C6B1C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63880"/>
          <a:ext cx="7117080" cy="3002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</xdr:colOff>
      <xdr:row>0</xdr:row>
      <xdr:rowOff>34442</xdr:rowOff>
    </xdr:from>
    <xdr:to>
      <xdr:col>11</xdr:col>
      <xdr:colOff>549180</xdr:colOff>
      <xdr:row>15</xdr:row>
      <xdr:rowOff>19050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9" y="34442"/>
          <a:ext cx="7248431" cy="4461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222250</xdr:colOff>
      <xdr:row>18</xdr:row>
      <xdr:rowOff>12700</xdr:rowOff>
    </xdr:from>
    <xdr:to>
      <xdr:col>6</xdr:col>
      <xdr:colOff>187325</xdr:colOff>
      <xdr:row>22</xdr:row>
      <xdr:rowOff>231775</xdr:rowOff>
    </xdr:to>
    <xdr:pic>
      <xdr:nvPicPr>
        <xdr:cNvPr id="21" name="Picture 7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450" y="5384800"/>
          <a:ext cx="2403475" cy="141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120650</xdr:colOff>
      <xdr:row>18</xdr:row>
      <xdr:rowOff>38100</xdr:rowOff>
    </xdr:from>
    <xdr:to>
      <xdr:col>10</xdr:col>
      <xdr:colOff>222250</xdr:colOff>
      <xdr:row>22</xdr:row>
      <xdr:rowOff>69850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7850" y="5410200"/>
          <a:ext cx="1930400" cy="122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23</xdr:row>
      <xdr:rowOff>285750</xdr:rowOff>
    </xdr:from>
    <xdr:to>
      <xdr:col>11</xdr:col>
      <xdr:colOff>264641</xdr:colOff>
      <xdr:row>26</xdr:row>
      <xdr:rowOff>101600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7150100"/>
          <a:ext cx="6703541" cy="71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400050</xdr:colOff>
      <xdr:row>14</xdr:row>
      <xdr:rowOff>164328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05650" cy="4342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368300</xdr:colOff>
      <xdr:row>16</xdr:row>
      <xdr:rowOff>76200</xdr:rowOff>
    </xdr:from>
    <xdr:to>
      <xdr:col>6</xdr:col>
      <xdr:colOff>76200</xdr:colOff>
      <xdr:row>19</xdr:row>
      <xdr:rowOff>234950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3">
              <a:extLst>
                <a:ext uri="{FF2B5EF4-FFF2-40B4-BE49-F238E27FC236}">
                  <a16:creationId xmlns:a16="http://schemas.microsoft.com/office/drawing/2014/main" id="{00000000-0008-0000-0900-000005000000}"/>
                </a:ext>
              </a:extLst>
            </xdr:cNvPr>
            <xdr:cNvSpPr txBox="1"/>
          </xdr:nvSpPr>
          <xdr:spPr>
            <a:xfrm>
              <a:off x="977900" y="4851400"/>
              <a:ext cx="2755900" cy="1054100"/>
            </a:xfrm>
            <a:prstGeom prst="rect">
              <a:avLst/>
            </a:prstGeom>
            <a:noFill/>
            <a:ln w="50800">
              <a:solidFill>
                <a:srgbClr val="FF0000"/>
              </a:solidFill>
            </a:ln>
          </xdr:spPr>
          <xdr:txBody>
            <a:bodyPr wrap="square" rtlCol="0">
              <a:no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2400" b="0" i="1">
                        <a:solidFill>
                          <a:sysClr val="windowText" lastClr="000000"/>
                        </a:solidFill>
                        <a:latin typeface="Cambria Math"/>
                      </a:rPr>
                      <m:t>𝑖</m:t>
                    </m:r>
                    <m:r>
                      <a:rPr lang="pt-BR" sz="2400" b="0" i="1" baseline="-25000">
                        <a:solidFill>
                          <a:sysClr val="windowText" lastClr="000000"/>
                        </a:solidFill>
                        <a:latin typeface="Cambria Math"/>
                      </a:rPr>
                      <m:t>𝐸</m:t>
                    </m:r>
                    <m:r>
                      <a:rPr lang="pt-BR" sz="2400" b="0" i="1">
                        <a:solidFill>
                          <a:sysClr val="windowText" lastClr="000000"/>
                        </a:solidFill>
                        <a:latin typeface="Cambria Math"/>
                      </a:rPr>
                      <m:t>=</m:t>
                    </m:r>
                    <m:sSup>
                      <m:sSupPr>
                        <m:ctrlPr>
                          <a:rPr lang="pt-BR" sz="24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["/>
                            <m:endChr m:val="]"/>
                            <m:ctrlPr>
                              <a:rPr lang="pt-BR" sz="240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2400" i="1">
                                <a:solidFill>
                                  <a:sysClr val="windowText" lastClr="000000"/>
                                </a:solidFill>
                                <a:latin typeface="Cambria Math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pt-BR" sz="2400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pt-BR" sz="2400" i="1">
                                    <a:solidFill>
                                      <a:sysClr val="windowText" lastClr="000000"/>
                                    </a:solidFill>
                                    <a:latin typeface="Cambria Math"/>
                                  </a:rPr>
                                  <m:t>𝑖</m:t>
                                </m:r>
                                <m:r>
                                  <a:rPr lang="pt-BR" sz="2400" i="1" baseline="-25000">
                                    <a:solidFill>
                                      <a:sysClr val="windowText" lastClr="000000"/>
                                    </a:solidFill>
                                    <a:latin typeface="Cambria Math"/>
                                  </a:rPr>
                                  <m:t>𝑁</m:t>
                                </m:r>
                              </m:num>
                              <m:den>
                                <m:r>
                                  <a:rPr lang="pt-BR" sz="2400" i="1">
                                    <a:solidFill>
                                      <a:sysClr val="windowText" lastClr="000000"/>
                                    </a:solidFill>
                                    <a:latin typeface="Cambria Math"/>
                                  </a:rPr>
                                  <m:t>𝑚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pt-BR" sz="2400" b="0" i="1">
                            <a:solidFill>
                              <a:sysClr val="windowText" lastClr="000000"/>
                            </a:solidFill>
                            <a:latin typeface="Cambria Math"/>
                          </a:rPr>
                          <m:t>𝑚</m:t>
                        </m:r>
                      </m:sup>
                    </m:sSup>
                    <m:r>
                      <a:rPr lang="pt-BR" sz="2400" b="0" i="1">
                        <a:solidFill>
                          <a:sysClr val="windowText" lastClr="000000"/>
                        </a:solidFill>
                        <a:latin typeface="Cambria Math"/>
                      </a:rPr>
                      <m:t>−1</m:t>
                    </m:r>
                  </m:oMath>
                </m:oMathPara>
              </a14:m>
              <a:endParaRPr lang="pt-BR" sz="240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5" name="CaixaDeTexto 3"/>
            <xdr:cNvSpPr txBox="1"/>
          </xdr:nvSpPr>
          <xdr:spPr>
            <a:xfrm>
              <a:off x="977900" y="4851400"/>
              <a:ext cx="2755900" cy="1054100"/>
            </a:xfrm>
            <a:prstGeom prst="rect">
              <a:avLst/>
            </a:prstGeom>
            <a:noFill/>
            <a:ln w="50800">
              <a:solidFill>
                <a:srgbClr val="FF0000"/>
              </a:solidFill>
            </a:ln>
          </xdr:spPr>
          <xdr:txBody>
            <a:bodyPr wrap="square" rtlCol="0">
              <a:noAutofit/>
            </a:bodyPr>
            <a:lstStyle>
              <a:defPPr>
                <a:defRPr lang="pt-BR"/>
              </a:defPPr>
              <a:lvl1pPr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1pPr>
              <a:lvl2pPr marL="4572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2pPr>
              <a:lvl3pPr marL="9144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3pPr>
              <a:lvl4pPr marL="13716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4pPr>
              <a:lvl5pPr marL="1828800" algn="l" rtl="0" fontAlgn="base">
                <a:spcBef>
                  <a:spcPct val="0"/>
                </a:spcBef>
                <a:spcAft>
                  <a:spcPct val="0"/>
                </a:spcAft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2400" kern="120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lvl9pPr>
            </a:lstStyle>
            <a:p>
              <a:pPr/>
              <a:r>
                <a:rPr lang="pt-BR" sz="2400" b="0" i="0">
                  <a:solidFill>
                    <a:sysClr val="windowText" lastClr="000000"/>
                  </a:solidFill>
                  <a:latin typeface="Cambria Math"/>
                </a:rPr>
                <a:t>𝑖</a:t>
              </a:r>
              <a:r>
                <a:rPr lang="pt-BR" sz="2400" b="0" i="0" baseline="-25000">
                  <a:solidFill>
                    <a:sysClr val="windowText" lastClr="000000"/>
                  </a:solidFill>
                  <a:latin typeface="Cambria Math"/>
                </a:rPr>
                <a:t>𝐸</a:t>
              </a:r>
              <a:r>
                <a:rPr lang="pt-BR" sz="2400" b="0" i="0">
                  <a:solidFill>
                    <a:sysClr val="windowText" lastClr="000000"/>
                  </a:solidFill>
                  <a:latin typeface="Cambria Math"/>
                </a:rPr>
                <a:t>=</a:t>
              </a:r>
              <a:r>
                <a:rPr lang="pt-BR" sz="240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</a:t>
              </a:r>
              <a:r>
                <a:rPr lang="pt-BR" sz="2400" i="0">
                  <a:solidFill>
                    <a:sysClr val="windowText" lastClr="000000"/>
                  </a:solidFill>
                  <a:latin typeface="Cambria Math"/>
                </a:rPr>
                <a:t>1+𝑖</a:t>
              </a:r>
              <a:r>
                <a:rPr lang="pt-BR" sz="2400" i="0" baseline="-25000">
                  <a:solidFill>
                    <a:sysClr val="windowText" lastClr="000000"/>
                  </a:solidFill>
                  <a:latin typeface="Cambria Math"/>
                </a:rPr>
                <a:t>𝑁</a:t>
              </a:r>
              <a:r>
                <a:rPr lang="pt-BR" sz="2400" i="0" baseline="-2500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/</a:t>
              </a:r>
              <a:r>
                <a:rPr lang="pt-BR" sz="2400" i="0">
                  <a:solidFill>
                    <a:sysClr val="windowText" lastClr="000000"/>
                  </a:solidFill>
                  <a:latin typeface="Cambria Math"/>
                </a:rPr>
                <a:t>𝑚</a:t>
              </a:r>
              <a:r>
                <a:rPr lang="pt-BR" sz="240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]</a:t>
              </a:r>
              <a:r>
                <a:rPr lang="pt-BR" sz="24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^</a:t>
              </a:r>
              <a:r>
                <a:rPr lang="pt-BR" sz="2400" b="0" i="0">
                  <a:solidFill>
                    <a:sysClr val="windowText" lastClr="000000"/>
                  </a:solidFill>
                  <a:latin typeface="Cambria Math"/>
                </a:rPr>
                <a:t>𝑚−1</a:t>
              </a:r>
              <a:endParaRPr lang="pt-BR" sz="24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6"/>
  <sheetViews>
    <sheetView workbookViewId="0">
      <selection activeCell="O12" sqref="O12"/>
    </sheetView>
  </sheetViews>
  <sheetFormatPr defaultColWidth="8.6640625" defaultRowHeight="23.4" x14ac:dyDescent="0.45"/>
  <cols>
    <col min="1" max="12" width="8.6640625" style="1"/>
    <col min="13" max="13" width="8.6640625" style="2"/>
    <col min="14" max="14" width="17.44140625" style="2" customWidth="1"/>
    <col min="15" max="15" width="26.44140625" style="2" customWidth="1"/>
    <col min="16" max="16384" width="8.6640625" style="2"/>
  </cols>
  <sheetData>
    <row r="3" spans="14:16" x14ac:dyDescent="0.45">
      <c r="N3" s="2" t="s">
        <v>3</v>
      </c>
      <c r="O3" s="17">
        <v>-20000</v>
      </c>
      <c r="P3" s="16" t="s">
        <v>2</v>
      </c>
    </row>
    <row r="4" spans="14:16" x14ac:dyDescent="0.45">
      <c r="N4" s="2" t="s">
        <v>4</v>
      </c>
      <c r="O4" s="6">
        <v>10</v>
      </c>
      <c r="P4" s="16" t="s">
        <v>5</v>
      </c>
    </row>
    <row r="5" spans="14:16" x14ac:dyDescent="0.45">
      <c r="N5" s="2" t="s">
        <v>6</v>
      </c>
      <c r="O5" s="14">
        <v>9.4900000000000002E-3</v>
      </c>
      <c r="P5" s="6" t="s">
        <v>7</v>
      </c>
    </row>
    <row r="6" spans="14:16" x14ac:dyDescent="0.45">
      <c r="N6" s="2" t="s">
        <v>6</v>
      </c>
      <c r="O6" s="7">
        <f>(1+O5)^(12/1)-1</f>
        <v>0.12001607057553132</v>
      </c>
      <c r="P6" s="16" t="s">
        <v>8</v>
      </c>
    </row>
    <row r="7" spans="14:16" x14ac:dyDescent="0.45">
      <c r="O7" s="6"/>
      <c r="P7" s="6"/>
    </row>
    <row r="8" spans="14:16" x14ac:dyDescent="0.45">
      <c r="N8" s="2" t="s">
        <v>9</v>
      </c>
      <c r="O8" s="8">
        <f>FV(O6,O4,O3)</f>
        <v>351001.9744416257</v>
      </c>
      <c r="P8" s="6"/>
    </row>
    <row r="9" spans="14:16" x14ac:dyDescent="0.45">
      <c r="O9" s="6"/>
      <c r="P9" s="6"/>
    </row>
    <row r="10" spans="14:16" x14ac:dyDescent="0.45">
      <c r="O10" s="6"/>
      <c r="P10" s="6"/>
    </row>
    <row r="20" spans="14:16" x14ac:dyDescent="0.45">
      <c r="N20" s="2" t="s">
        <v>3</v>
      </c>
      <c r="O20" s="18">
        <v>-20000</v>
      </c>
      <c r="P20" s="2" t="s">
        <v>2</v>
      </c>
    </row>
    <row r="21" spans="14:16" x14ac:dyDescent="0.45">
      <c r="N21" s="2" t="s">
        <v>4</v>
      </c>
      <c r="O21" s="2">
        <v>9</v>
      </c>
      <c r="P21" s="2" t="s">
        <v>5</v>
      </c>
    </row>
    <row r="22" spans="14:16" x14ac:dyDescent="0.45">
      <c r="N22" s="2" t="s">
        <v>6</v>
      </c>
      <c r="O22" s="19">
        <f>O6</f>
        <v>0.12001607057553132</v>
      </c>
    </row>
    <row r="24" spans="14:16" x14ac:dyDescent="0.45">
      <c r="N24" s="2" t="s">
        <v>10</v>
      </c>
      <c r="O24" s="20">
        <f>FV(O22,O21,O20)</f>
        <v>295533.23665394995</v>
      </c>
    </row>
    <row r="26" spans="14:16" x14ac:dyDescent="0.45">
      <c r="N26" s="2" t="s">
        <v>11</v>
      </c>
      <c r="O26" s="20">
        <f>FV(O22,1,,-O24)</f>
        <v>331001.97444162559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P10"/>
  <sheetViews>
    <sheetView workbookViewId="0">
      <selection activeCell="O10" sqref="O10"/>
    </sheetView>
  </sheetViews>
  <sheetFormatPr defaultColWidth="8.6640625" defaultRowHeight="23.4" x14ac:dyDescent="0.45"/>
  <cols>
    <col min="1" max="12" width="8.6640625" style="1"/>
    <col min="13" max="13" width="8.6640625" style="2"/>
    <col min="14" max="14" width="17.44140625" style="2" customWidth="1"/>
    <col min="15" max="15" width="26.44140625" style="2" customWidth="1"/>
    <col min="16" max="16384" width="8.6640625" style="2"/>
  </cols>
  <sheetData>
    <row r="3" spans="14:16" x14ac:dyDescent="0.45">
      <c r="O3" s="10"/>
      <c r="P3" s="6"/>
    </row>
    <row r="4" spans="14:16" x14ac:dyDescent="0.45">
      <c r="N4" s="2" t="s">
        <v>9</v>
      </c>
      <c r="O4" s="21">
        <v>500000</v>
      </c>
      <c r="P4" s="6" t="s">
        <v>12</v>
      </c>
    </row>
    <row r="5" spans="14:16" x14ac:dyDescent="0.45">
      <c r="N5" s="2" t="s">
        <v>4</v>
      </c>
      <c r="O5" s="22">
        <v>14</v>
      </c>
      <c r="P5" s="16" t="s">
        <v>5</v>
      </c>
    </row>
    <row r="6" spans="14:16" x14ac:dyDescent="0.45">
      <c r="N6" s="2" t="s">
        <v>6</v>
      </c>
      <c r="O6" s="7">
        <v>9.4999999999999998E-3</v>
      </c>
      <c r="P6" s="15" t="s">
        <v>7</v>
      </c>
    </row>
    <row r="7" spans="14:16" x14ac:dyDescent="0.45">
      <c r="N7" s="2" t="s">
        <v>6</v>
      </c>
      <c r="O7" s="23">
        <f>(1+O6)^(12/1)-1</f>
        <v>0.12014921627417685</v>
      </c>
      <c r="P7" s="16" t="s">
        <v>8</v>
      </c>
    </row>
    <row r="8" spans="14:16" x14ac:dyDescent="0.45">
      <c r="O8" s="8"/>
      <c r="P8" s="6"/>
    </row>
    <row r="9" spans="14:16" x14ac:dyDescent="0.45">
      <c r="N9" s="2" t="s">
        <v>3</v>
      </c>
      <c r="O9" s="8">
        <f>PMT(O7,O5,,O4)</f>
        <v>-15418.628045469701</v>
      </c>
      <c r="P9" s="6" t="s">
        <v>2</v>
      </c>
    </row>
    <row r="10" spans="14:16" x14ac:dyDescent="0.45">
      <c r="N10" s="2" t="s">
        <v>3</v>
      </c>
      <c r="O10" s="8">
        <f>PMT(O6,168,,O4)</f>
        <v>-1219.1254422975769</v>
      </c>
      <c r="P10" s="6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W20"/>
  <sheetViews>
    <sheetView topLeftCell="E10" zoomScaleNormal="100" workbookViewId="0">
      <selection activeCell="Q16" sqref="Q16"/>
    </sheetView>
  </sheetViews>
  <sheetFormatPr defaultColWidth="8.6640625" defaultRowHeight="23.4" x14ac:dyDescent="0.45"/>
  <cols>
    <col min="1" max="3" width="8.6640625" style="4"/>
    <col min="4" max="14" width="8.6640625" style="3"/>
    <col min="15" max="15" width="8.6640625" style="5"/>
    <col min="16" max="16" width="18.44140625" style="6" customWidth="1"/>
    <col min="17" max="17" width="28.5546875" style="6" customWidth="1"/>
    <col min="18" max="18" width="12.5546875" style="6" customWidth="1"/>
    <col min="19" max="23" width="8.6640625" style="2"/>
    <col min="24" max="16384" width="8.6640625" style="4"/>
  </cols>
  <sheetData>
    <row r="3" spans="16:18" x14ac:dyDescent="0.45">
      <c r="P3" s="9"/>
      <c r="Q3" s="27" t="s">
        <v>15</v>
      </c>
      <c r="R3" s="9"/>
    </row>
    <row r="4" spans="16:18" x14ac:dyDescent="0.45">
      <c r="P4" s="9" t="s">
        <v>9</v>
      </c>
      <c r="Q4" s="21">
        <v>2000</v>
      </c>
      <c r="R4" s="9" t="s">
        <v>14</v>
      </c>
    </row>
    <row r="5" spans="16:18" x14ac:dyDescent="0.45">
      <c r="P5" s="9" t="s">
        <v>4</v>
      </c>
      <c r="Q5" s="9">
        <v>7</v>
      </c>
      <c r="R5" s="25" t="s">
        <v>5</v>
      </c>
    </row>
    <row r="6" spans="16:18" x14ac:dyDescent="0.45">
      <c r="P6" s="9" t="s">
        <v>6</v>
      </c>
      <c r="Q6" s="24">
        <v>0.1</v>
      </c>
      <c r="R6" s="25" t="s">
        <v>8</v>
      </c>
    </row>
    <row r="7" spans="16:18" x14ac:dyDescent="0.45">
      <c r="P7" s="9"/>
      <c r="Q7" s="9"/>
      <c r="R7" s="9"/>
    </row>
    <row r="8" spans="16:18" x14ac:dyDescent="0.45">
      <c r="P8" s="9" t="s">
        <v>3</v>
      </c>
      <c r="Q8" s="26">
        <f>PMT(Q6,Q5,,Q4)</f>
        <v>-210.8109994011914</v>
      </c>
      <c r="R8" s="9" t="s">
        <v>2</v>
      </c>
    </row>
    <row r="11" spans="16:18" x14ac:dyDescent="0.45">
      <c r="Q11" s="6" t="s">
        <v>16</v>
      </c>
    </row>
    <row r="12" spans="16:18" x14ac:dyDescent="0.45">
      <c r="P12" s="6" t="s">
        <v>17</v>
      </c>
      <c r="Q12" s="21">
        <v>2000</v>
      </c>
    </row>
    <row r="13" spans="16:18" x14ac:dyDescent="0.45">
      <c r="P13" s="6" t="s">
        <v>6</v>
      </c>
      <c r="Q13" s="28">
        <v>0.1</v>
      </c>
      <c r="R13" s="6" t="s">
        <v>8</v>
      </c>
    </row>
    <row r="14" spans="16:18" x14ac:dyDescent="0.45">
      <c r="P14" s="6" t="s">
        <v>4</v>
      </c>
      <c r="Q14" s="6">
        <v>5</v>
      </c>
      <c r="R14" s="6" t="s">
        <v>5</v>
      </c>
    </row>
    <row r="15" spans="16:18" x14ac:dyDescent="0.45">
      <c r="Q15" s="6" t="s">
        <v>19</v>
      </c>
    </row>
    <row r="16" spans="16:18" x14ac:dyDescent="0.45">
      <c r="P16" s="6" t="s">
        <v>18</v>
      </c>
      <c r="Q16" s="8">
        <f>-FV(Q13,Q14,,Q12)</f>
        <v>3221.0200000000009</v>
      </c>
    </row>
    <row r="17" spans="16:18" x14ac:dyDescent="0.45">
      <c r="P17" s="6" t="s">
        <v>6</v>
      </c>
      <c r="Q17" s="28">
        <v>0.1</v>
      </c>
      <c r="R17" s="6" t="s">
        <v>8</v>
      </c>
    </row>
    <row r="18" spans="16:18" x14ac:dyDescent="0.45">
      <c r="P18" s="6" t="s">
        <v>4</v>
      </c>
      <c r="Q18" s="6">
        <v>7</v>
      </c>
      <c r="R18" s="6" t="s">
        <v>5</v>
      </c>
    </row>
    <row r="20" spans="16:18" x14ac:dyDescent="0.45">
      <c r="P20" s="6" t="s">
        <v>3</v>
      </c>
      <c r="Q20" s="8">
        <f>PMT(Q17,Q18,,Q16)</f>
        <v>-339.51322264561281</v>
      </c>
      <c r="R20" s="6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13"/>
  <sheetViews>
    <sheetView workbookViewId="0">
      <selection activeCell="N13" sqref="N13"/>
    </sheetView>
  </sheetViews>
  <sheetFormatPr defaultColWidth="8.6640625" defaultRowHeight="23.4" x14ac:dyDescent="0.45"/>
  <cols>
    <col min="1" max="12" width="8.6640625" style="1"/>
    <col min="13" max="13" width="8.6640625" style="2"/>
    <col min="14" max="14" width="17.44140625" style="2" customWidth="1"/>
    <col min="15" max="15" width="26.44140625" style="2" customWidth="1"/>
    <col min="16" max="16384" width="8.6640625" style="2"/>
  </cols>
  <sheetData>
    <row r="2" spans="14:16" x14ac:dyDescent="0.45">
      <c r="N2" s="33" t="s">
        <v>6</v>
      </c>
      <c r="O2" s="32">
        <v>0.1</v>
      </c>
      <c r="P2" s="2" t="s">
        <v>7</v>
      </c>
    </row>
    <row r="3" spans="14:16" x14ac:dyDescent="0.45">
      <c r="N3" s="31" t="s">
        <v>20</v>
      </c>
      <c r="O3" s="29" t="s">
        <v>21</v>
      </c>
      <c r="P3" s="6"/>
    </row>
    <row r="4" spans="14:16" x14ac:dyDescent="0.45">
      <c r="N4" s="30">
        <v>0</v>
      </c>
      <c r="O4" s="21">
        <v>0</v>
      </c>
      <c r="P4" s="6"/>
    </row>
    <row r="5" spans="14:16" x14ac:dyDescent="0.45">
      <c r="N5" s="30">
        <v>1</v>
      </c>
      <c r="O5" s="34">
        <v>-100</v>
      </c>
      <c r="P5" s="6"/>
    </row>
    <row r="6" spans="14:16" x14ac:dyDescent="0.45">
      <c r="N6" s="30">
        <v>2</v>
      </c>
      <c r="O6" s="34">
        <v>-110</v>
      </c>
      <c r="P6" s="6"/>
    </row>
    <row r="7" spans="14:16" x14ac:dyDescent="0.45">
      <c r="N7" s="30">
        <v>3</v>
      </c>
      <c r="O7" s="34">
        <v>-120</v>
      </c>
      <c r="P7" s="6"/>
    </row>
    <row r="8" spans="14:16" x14ac:dyDescent="0.45">
      <c r="N8" s="30">
        <v>4</v>
      </c>
      <c r="O8" s="34">
        <v>-130</v>
      </c>
      <c r="P8" s="6"/>
    </row>
    <row r="9" spans="14:16" x14ac:dyDescent="0.45">
      <c r="N9" s="30">
        <v>5</v>
      </c>
      <c r="O9" s="34">
        <v>-140</v>
      </c>
      <c r="P9" s="6"/>
    </row>
    <row r="10" spans="14:16" x14ac:dyDescent="0.45">
      <c r="O10" s="6"/>
      <c r="P10" s="6"/>
    </row>
    <row r="11" spans="14:16" x14ac:dyDescent="0.45">
      <c r="N11" s="33" t="s">
        <v>17</v>
      </c>
      <c r="O11" s="8">
        <f>NPV(O2,O5:O9)</f>
        <v>-447.696692352112</v>
      </c>
    </row>
    <row r="12" spans="14:16" x14ac:dyDescent="0.45">
      <c r="N12" s="33" t="s">
        <v>9</v>
      </c>
      <c r="O12" s="20">
        <f>-FV(O2,5,,O11)</f>
        <v>-721.0200000000001</v>
      </c>
    </row>
    <row r="13" spans="14:16" x14ac:dyDescent="0.45">
      <c r="N13" s="33" t="s">
        <v>3</v>
      </c>
      <c r="O13" s="20">
        <f>-PMT(O2,5,O11)</f>
        <v>-118.10125960262731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P13"/>
  <sheetViews>
    <sheetView topLeftCell="H4" workbookViewId="0">
      <selection activeCell="P11" sqref="P11"/>
    </sheetView>
  </sheetViews>
  <sheetFormatPr defaultColWidth="8.6640625" defaultRowHeight="23.4" x14ac:dyDescent="0.45"/>
  <cols>
    <col min="1" max="12" width="8.6640625" style="1"/>
    <col min="13" max="13" width="8.6640625" style="2"/>
    <col min="14" max="14" width="17.44140625" style="2" customWidth="1"/>
    <col min="15" max="15" width="26.44140625" style="2" customWidth="1"/>
    <col min="16" max="16" width="27.6640625" style="2" customWidth="1"/>
    <col min="17" max="16384" width="8.6640625" style="2"/>
  </cols>
  <sheetData>
    <row r="3" spans="14:16" x14ac:dyDescent="0.45">
      <c r="O3" s="10"/>
      <c r="P3" s="6"/>
    </row>
    <row r="4" spans="14:16" x14ac:dyDescent="0.45">
      <c r="N4" s="33" t="s">
        <v>6</v>
      </c>
      <c r="O4" s="28">
        <v>0.15</v>
      </c>
      <c r="P4" s="6" t="s">
        <v>8</v>
      </c>
    </row>
    <row r="5" spans="14:16" x14ac:dyDescent="0.45">
      <c r="N5" s="33" t="s">
        <v>20</v>
      </c>
      <c r="O5" s="35" t="s">
        <v>21</v>
      </c>
      <c r="P5" s="6"/>
    </row>
    <row r="6" spans="14:16" x14ac:dyDescent="0.45">
      <c r="N6" s="33">
        <v>0</v>
      </c>
      <c r="O6" s="21">
        <v>0</v>
      </c>
      <c r="P6" s="6">
        <v>0</v>
      </c>
    </row>
    <row r="7" spans="14:16" x14ac:dyDescent="0.45">
      <c r="N7" s="33">
        <v>1</v>
      </c>
      <c r="O7" s="21">
        <v>-2000000</v>
      </c>
      <c r="P7" s="10">
        <f>O7</f>
        <v>-2000000</v>
      </c>
    </row>
    <row r="8" spans="14:16" x14ac:dyDescent="0.45">
      <c r="N8" s="33">
        <v>2</v>
      </c>
      <c r="O8" s="21">
        <f>1.1*O7</f>
        <v>-2200000</v>
      </c>
      <c r="P8" s="21">
        <v>-2200000</v>
      </c>
    </row>
    <row r="9" spans="14:16" x14ac:dyDescent="0.45">
      <c r="N9" s="33">
        <v>3</v>
      </c>
      <c r="O9" s="21">
        <f>1.1*O8</f>
        <v>-2420000</v>
      </c>
      <c r="P9" s="10">
        <f>P8-200000</f>
        <v>-2400000</v>
      </c>
    </row>
    <row r="10" spans="14:16" x14ac:dyDescent="0.45">
      <c r="N10" s="33">
        <v>4</v>
      </c>
      <c r="O10" s="21">
        <f t="shared" ref="O10:O11" si="0">1.1*O9</f>
        <v>-2662000</v>
      </c>
      <c r="P10" s="10">
        <f t="shared" ref="P10:P11" si="1">P9-200000</f>
        <v>-2600000</v>
      </c>
    </row>
    <row r="11" spans="14:16" x14ac:dyDescent="0.45">
      <c r="N11" s="33">
        <v>5</v>
      </c>
      <c r="O11" s="21">
        <f t="shared" si="0"/>
        <v>-2928200.0000000005</v>
      </c>
      <c r="P11" s="10">
        <f t="shared" si="1"/>
        <v>-2800000</v>
      </c>
    </row>
    <row r="13" spans="14:16" x14ac:dyDescent="0.45">
      <c r="N13" s="33" t="s">
        <v>17</v>
      </c>
      <c r="O13" s="20">
        <f>NPV(O4,O7:O11)</f>
        <v>-7971675.8413900584</v>
      </c>
      <c r="P13" s="20">
        <f>NPV(O4,P7:P11)</f>
        <v>-7859338.7580494098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P18"/>
  <sheetViews>
    <sheetView topLeftCell="A7" workbookViewId="0">
      <selection activeCell="O18" sqref="O18"/>
    </sheetView>
  </sheetViews>
  <sheetFormatPr defaultColWidth="8.6640625" defaultRowHeight="23.4" x14ac:dyDescent="0.45"/>
  <cols>
    <col min="1" max="12" width="8.6640625" style="1"/>
    <col min="13" max="13" width="8.6640625" style="2"/>
    <col min="14" max="14" width="17.44140625" style="2" customWidth="1"/>
    <col min="15" max="15" width="27.88671875" style="2" customWidth="1"/>
    <col min="16" max="16" width="10.5546875" style="2" bestFit="1" customWidth="1"/>
    <col min="17" max="16384" width="8.6640625" style="2"/>
  </cols>
  <sheetData>
    <row r="3" spans="14:16" x14ac:dyDescent="0.45">
      <c r="O3" s="10"/>
      <c r="P3" s="6"/>
    </row>
    <row r="4" spans="14:16" x14ac:dyDescent="0.45">
      <c r="O4" s="6"/>
      <c r="P4" s="6"/>
    </row>
    <row r="5" spans="14:16" x14ac:dyDescent="0.45">
      <c r="O5" s="11"/>
      <c r="P5" s="6"/>
    </row>
    <row r="6" spans="14:16" x14ac:dyDescent="0.45">
      <c r="O6" s="7"/>
      <c r="P6" s="6"/>
    </row>
    <row r="7" spans="14:16" x14ac:dyDescent="0.45">
      <c r="O7" s="6"/>
      <c r="P7" s="6"/>
    </row>
    <row r="8" spans="14:16" x14ac:dyDescent="0.45">
      <c r="O8" s="8"/>
      <c r="P8" s="6"/>
    </row>
    <row r="9" spans="14:16" x14ac:dyDescent="0.45">
      <c r="N9" s="2" t="s">
        <v>3</v>
      </c>
      <c r="O9" s="21">
        <v>12000</v>
      </c>
      <c r="P9" s="6" t="s">
        <v>22</v>
      </c>
    </row>
    <row r="10" spans="14:16" x14ac:dyDescent="0.45">
      <c r="N10" s="2" t="s">
        <v>6</v>
      </c>
      <c r="O10" s="28">
        <v>0.1</v>
      </c>
      <c r="P10" s="6" t="s">
        <v>8</v>
      </c>
    </row>
    <row r="12" spans="14:16" x14ac:dyDescent="0.45">
      <c r="N12" s="2" t="s">
        <v>17</v>
      </c>
      <c r="O12" s="36">
        <f>O9/O10</f>
        <v>120000</v>
      </c>
      <c r="P12" s="2" t="s">
        <v>12</v>
      </c>
    </row>
    <row r="15" spans="14:16" x14ac:dyDescent="0.45">
      <c r="N15" s="2" t="s">
        <v>3</v>
      </c>
      <c r="O15" s="18">
        <v>12000</v>
      </c>
      <c r="P15" s="2" t="s">
        <v>13</v>
      </c>
    </row>
    <row r="16" spans="14:16" x14ac:dyDescent="0.45">
      <c r="N16" s="2" t="s">
        <v>6</v>
      </c>
      <c r="O16" s="38">
        <f>(1+O10)^(1/12)-1</f>
        <v>7.9741404289037643E-3</v>
      </c>
      <c r="P16" s="2" t="s">
        <v>7</v>
      </c>
    </row>
    <row r="18" spans="14:15" x14ac:dyDescent="0.45">
      <c r="N18" s="2" t="s">
        <v>17</v>
      </c>
      <c r="O18" s="39">
        <f>O15/O16</f>
        <v>1504864.3934716468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P19"/>
  <sheetViews>
    <sheetView topLeftCell="A7" workbookViewId="0">
      <selection activeCell="O14" sqref="O14"/>
    </sheetView>
  </sheetViews>
  <sheetFormatPr defaultColWidth="8.6640625" defaultRowHeight="23.4" x14ac:dyDescent="0.45"/>
  <cols>
    <col min="1" max="12" width="8.6640625" style="1"/>
    <col min="13" max="13" width="8.6640625" style="2"/>
    <col min="14" max="14" width="17.44140625" style="2" customWidth="1"/>
    <col min="15" max="15" width="26.44140625" style="2" customWidth="1"/>
    <col min="16" max="16384" width="8.6640625" style="2"/>
  </cols>
  <sheetData>
    <row r="3" spans="14:16" x14ac:dyDescent="0.45">
      <c r="O3" s="10"/>
      <c r="P3" s="6"/>
    </row>
    <row r="4" spans="14:16" x14ac:dyDescent="0.45">
      <c r="O4" s="6"/>
      <c r="P4" s="6"/>
    </row>
    <row r="5" spans="14:16" x14ac:dyDescent="0.45">
      <c r="O5" s="11"/>
      <c r="P5" s="6"/>
    </row>
    <row r="6" spans="14:16" x14ac:dyDescent="0.45">
      <c r="O6" s="7"/>
      <c r="P6" s="6"/>
    </row>
    <row r="7" spans="14:16" x14ac:dyDescent="0.45">
      <c r="O7" s="6"/>
      <c r="P7" s="6"/>
    </row>
    <row r="8" spans="14:16" x14ac:dyDescent="0.45">
      <c r="O8" s="8" t="s">
        <v>16</v>
      </c>
      <c r="P8" s="6"/>
    </row>
    <row r="9" spans="14:16" x14ac:dyDescent="0.45">
      <c r="N9" s="2" t="s">
        <v>3</v>
      </c>
      <c r="O9" s="21">
        <v>10000</v>
      </c>
      <c r="P9" s="6" t="s">
        <v>2</v>
      </c>
    </row>
    <row r="10" spans="14:16" x14ac:dyDescent="0.45">
      <c r="N10" s="2" t="s">
        <v>6</v>
      </c>
      <c r="O10" s="28">
        <v>0.1</v>
      </c>
      <c r="P10" s="6" t="s">
        <v>8</v>
      </c>
    </row>
    <row r="12" spans="14:16" x14ac:dyDescent="0.45">
      <c r="N12" s="2" t="s">
        <v>23</v>
      </c>
      <c r="O12" s="36">
        <f>O9/O10</f>
        <v>100000</v>
      </c>
      <c r="P12" s="2" t="s">
        <v>12</v>
      </c>
    </row>
    <row r="14" spans="14:16" x14ac:dyDescent="0.45">
      <c r="O14" s="2" t="s">
        <v>19</v>
      </c>
    </row>
    <row r="16" spans="14:16" x14ac:dyDescent="0.45">
      <c r="N16" s="2" t="s">
        <v>9</v>
      </c>
      <c r="O16" s="36">
        <f>O12+50000</f>
        <v>150000</v>
      </c>
    </row>
    <row r="17" spans="14:16" x14ac:dyDescent="0.45">
      <c r="N17" s="2" t="s">
        <v>6</v>
      </c>
      <c r="O17" s="32">
        <v>0.1</v>
      </c>
      <c r="P17" s="2" t="s">
        <v>8</v>
      </c>
    </row>
    <row r="18" spans="14:16" x14ac:dyDescent="0.45">
      <c r="N18" s="2" t="s">
        <v>4</v>
      </c>
      <c r="O18" s="2">
        <v>1</v>
      </c>
    </row>
    <row r="19" spans="14:16" x14ac:dyDescent="0.45">
      <c r="N19" s="2" t="s">
        <v>17</v>
      </c>
      <c r="O19" s="20">
        <f>PV(O17,O18,,O16)</f>
        <v>-136363.63636363635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P17"/>
  <sheetViews>
    <sheetView tabSelected="1" workbookViewId="0">
      <selection activeCell="N5" sqref="N5"/>
    </sheetView>
  </sheetViews>
  <sheetFormatPr defaultColWidth="8.6640625" defaultRowHeight="23.4" x14ac:dyDescent="0.45"/>
  <cols>
    <col min="1" max="12" width="8.6640625" style="1"/>
    <col min="13" max="13" width="8.6640625" style="2"/>
    <col min="14" max="14" width="17.44140625" style="2" customWidth="1"/>
    <col min="15" max="15" width="22.6640625" style="2" customWidth="1"/>
    <col min="16" max="16" width="12.109375" style="2" bestFit="1" customWidth="1"/>
    <col min="17" max="16384" width="8.6640625" style="2"/>
  </cols>
  <sheetData>
    <row r="3" spans="14:16" x14ac:dyDescent="0.45">
      <c r="O3" s="10"/>
      <c r="P3" s="6"/>
    </row>
    <row r="4" spans="14:16" x14ac:dyDescent="0.45">
      <c r="O4" s="6"/>
      <c r="P4" s="6"/>
    </row>
    <row r="5" spans="14:16" x14ac:dyDescent="0.45">
      <c r="O5" s="11"/>
      <c r="P5" s="6"/>
    </row>
    <row r="6" spans="14:16" x14ac:dyDescent="0.45">
      <c r="O6" s="7"/>
      <c r="P6" s="6"/>
    </row>
    <row r="7" spans="14:16" x14ac:dyDescent="0.45">
      <c r="O7" s="6"/>
      <c r="P7" s="6"/>
    </row>
    <row r="8" spans="14:16" x14ac:dyDescent="0.45">
      <c r="N8" s="2" t="s">
        <v>3</v>
      </c>
      <c r="O8" s="8">
        <v>150000</v>
      </c>
      <c r="P8" s="15" t="s">
        <v>24</v>
      </c>
    </row>
    <row r="9" spans="14:16" x14ac:dyDescent="0.45">
      <c r="N9" s="2" t="s">
        <v>6</v>
      </c>
      <c r="O9" s="28">
        <v>0.15</v>
      </c>
      <c r="P9" s="15" t="s">
        <v>8</v>
      </c>
    </row>
    <row r="10" spans="14:16" x14ac:dyDescent="0.45">
      <c r="O10" s="6"/>
      <c r="P10" s="6"/>
    </row>
    <row r="11" spans="14:16" x14ac:dyDescent="0.45">
      <c r="N11" s="2" t="s">
        <v>17</v>
      </c>
      <c r="O11" s="40">
        <f>O8/O9</f>
        <v>1000000</v>
      </c>
      <c r="P11" s="2" t="s">
        <v>25</v>
      </c>
    </row>
    <row r="14" spans="14:16" x14ac:dyDescent="0.45">
      <c r="N14" s="2" t="s">
        <v>3</v>
      </c>
      <c r="O14" s="18">
        <v>150000</v>
      </c>
      <c r="P14" s="16" t="s">
        <v>24</v>
      </c>
    </row>
    <row r="15" spans="14:16" x14ac:dyDescent="0.45">
      <c r="N15" s="2" t="s">
        <v>6</v>
      </c>
      <c r="O15" s="37">
        <f>(1+O9)^(3/1)-1</f>
        <v>0.52087499999999953</v>
      </c>
      <c r="P15" s="16" t="s">
        <v>26</v>
      </c>
    </row>
    <row r="17" spans="14:15" x14ac:dyDescent="0.45">
      <c r="N17" s="2" t="s">
        <v>30</v>
      </c>
      <c r="O17" s="36">
        <f>O14/O15</f>
        <v>287976.96184305282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P18"/>
  <sheetViews>
    <sheetView topLeftCell="A13" workbookViewId="0">
      <selection activeCell="O14" sqref="O14"/>
    </sheetView>
  </sheetViews>
  <sheetFormatPr defaultColWidth="8.6640625" defaultRowHeight="23.4" x14ac:dyDescent="0.45"/>
  <cols>
    <col min="1" max="12" width="8.6640625" style="1"/>
    <col min="13" max="13" width="8.6640625" style="2"/>
    <col min="14" max="14" width="17.44140625" style="2" customWidth="1"/>
    <col min="15" max="15" width="26.44140625" style="2" customWidth="1"/>
    <col min="16" max="16384" width="8.6640625" style="2"/>
  </cols>
  <sheetData>
    <row r="3" spans="14:16" x14ac:dyDescent="0.45">
      <c r="O3" s="10"/>
      <c r="P3" s="6"/>
    </row>
    <row r="4" spans="14:16" x14ac:dyDescent="0.45">
      <c r="O4" s="6"/>
      <c r="P4" s="6"/>
    </row>
    <row r="5" spans="14:16" x14ac:dyDescent="0.45">
      <c r="O5" s="11"/>
      <c r="P5" s="6"/>
    </row>
    <row r="6" spans="14:16" x14ac:dyDescent="0.45">
      <c r="O6" s="7"/>
      <c r="P6" s="6"/>
    </row>
    <row r="7" spans="14:16" x14ac:dyDescent="0.45">
      <c r="N7" s="2" t="s">
        <v>27</v>
      </c>
      <c r="O7" s="6" t="s">
        <v>31</v>
      </c>
      <c r="P7" s="6"/>
    </row>
    <row r="8" spans="14:16" x14ac:dyDescent="0.45">
      <c r="N8" s="2" t="s">
        <v>3</v>
      </c>
      <c r="O8" s="21">
        <v>11.35</v>
      </c>
      <c r="P8" s="6" t="s">
        <v>2</v>
      </c>
    </row>
    <row r="9" spans="14:16" x14ac:dyDescent="0.45">
      <c r="N9" s="2" t="s">
        <v>6</v>
      </c>
      <c r="O9" s="28">
        <v>7.0000000000000007E-2</v>
      </c>
      <c r="P9" s="6" t="s">
        <v>8</v>
      </c>
    </row>
    <row r="10" spans="14:16" x14ac:dyDescent="0.45">
      <c r="O10" s="6"/>
      <c r="P10" s="6"/>
    </row>
    <row r="11" spans="14:16" x14ac:dyDescent="0.45">
      <c r="N11" s="2" t="s">
        <v>17</v>
      </c>
      <c r="O11" s="41">
        <f>O8/O9</f>
        <v>162.14285714285711</v>
      </c>
    </row>
    <row r="13" spans="14:16" x14ac:dyDescent="0.45">
      <c r="N13" s="2" t="s">
        <v>28</v>
      </c>
      <c r="O13" s="2" t="s">
        <v>32</v>
      </c>
    </row>
    <row r="14" spans="14:16" x14ac:dyDescent="0.45">
      <c r="N14" s="2" t="s">
        <v>3</v>
      </c>
      <c r="O14" s="18">
        <v>11.35</v>
      </c>
      <c r="P14" s="2" t="s">
        <v>2</v>
      </c>
    </row>
    <row r="15" spans="14:16" x14ac:dyDescent="0.45">
      <c r="N15" s="2" t="s">
        <v>6</v>
      </c>
      <c r="O15" s="32">
        <v>7.0000000000000007E-2</v>
      </c>
      <c r="P15" s="2" t="s">
        <v>8</v>
      </c>
    </row>
    <row r="16" spans="14:16" x14ac:dyDescent="0.45">
      <c r="N16" s="2" t="s">
        <v>29</v>
      </c>
      <c r="O16" s="32">
        <v>0.02</v>
      </c>
      <c r="P16" s="2" t="s">
        <v>8</v>
      </c>
    </row>
    <row r="18" spans="14:15" x14ac:dyDescent="0.45">
      <c r="N18" s="2" t="s">
        <v>17</v>
      </c>
      <c r="O18" s="42">
        <f>O14/(O15-O16)</f>
        <v>226.99999999999997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R29"/>
  <sheetViews>
    <sheetView workbookViewId="0">
      <selection activeCell="C28" sqref="C28"/>
    </sheetView>
  </sheetViews>
  <sheetFormatPr defaultColWidth="8.6640625" defaultRowHeight="23.4" x14ac:dyDescent="0.45"/>
  <cols>
    <col min="1" max="12" width="8.6640625" style="1"/>
    <col min="13" max="13" width="8.6640625" style="2"/>
    <col min="14" max="14" width="17.44140625" style="2" customWidth="1"/>
    <col min="15" max="15" width="14.44140625" style="2" customWidth="1"/>
    <col min="16" max="16384" width="8.6640625" style="2"/>
  </cols>
  <sheetData>
    <row r="3" spans="14:18" x14ac:dyDescent="0.45">
      <c r="N3" s="2" t="s">
        <v>39</v>
      </c>
      <c r="O3" s="44">
        <v>0.06</v>
      </c>
      <c r="P3" s="15" t="s">
        <v>35</v>
      </c>
      <c r="Q3" s="15" t="s">
        <v>36</v>
      </c>
      <c r="R3" s="15"/>
    </row>
    <row r="4" spans="14:18" x14ac:dyDescent="0.45">
      <c r="N4" s="2" t="s">
        <v>40</v>
      </c>
      <c r="O4" s="43">
        <f>(1+O3/12)^12-1</f>
        <v>6.1677811864497611E-2</v>
      </c>
      <c r="P4" s="16" t="s">
        <v>8</v>
      </c>
      <c r="Q4" s="16" t="s">
        <v>37</v>
      </c>
      <c r="R4" s="16"/>
    </row>
    <row r="5" spans="14:18" x14ac:dyDescent="0.45">
      <c r="O5" s="11"/>
      <c r="P5" s="6"/>
    </row>
    <row r="6" spans="14:18" x14ac:dyDescent="0.45">
      <c r="O6" s="7"/>
      <c r="P6" s="6"/>
    </row>
    <row r="7" spans="14:18" x14ac:dyDescent="0.45">
      <c r="N7" s="2" t="s">
        <v>39</v>
      </c>
      <c r="O7" s="7">
        <v>0.15</v>
      </c>
      <c r="P7" s="15" t="s">
        <v>38</v>
      </c>
      <c r="Q7" s="15" t="s">
        <v>36</v>
      </c>
      <c r="R7" s="15"/>
    </row>
    <row r="8" spans="14:18" x14ac:dyDescent="0.45">
      <c r="N8" s="2" t="s">
        <v>40</v>
      </c>
      <c r="O8" s="23">
        <f>(1+O7/4)^4-1</f>
        <v>0.15865041503906308</v>
      </c>
      <c r="P8" s="16" t="s">
        <v>8</v>
      </c>
      <c r="Q8" s="16" t="s">
        <v>37</v>
      </c>
      <c r="R8" s="16"/>
    </row>
    <row r="9" spans="14:18" x14ac:dyDescent="0.45">
      <c r="O9" s="6"/>
      <c r="P9" s="6"/>
    </row>
    <row r="10" spans="14:18" x14ac:dyDescent="0.45">
      <c r="O10" s="6"/>
      <c r="P10" s="6"/>
    </row>
    <row r="12" spans="14:18" x14ac:dyDescent="0.45">
      <c r="N12" s="2" t="s">
        <v>41</v>
      </c>
      <c r="O12" s="19">
        <v>0.1225</v>
      </c>
      <c r="P12" s="16" t="s">
        <v>8</v>
      </c>
      <c r="Q12" s="16" t="s">
        <v>37</v>
      </c>
      <c r="R12" s="16"/>
    </row>
    <row r="13" spans="14:18" x14ac:dyDescent="0.45">
      <c r="N13" s="2" t="s">
        <v>42</v>
      </c>
      <c r="O13" s="38">
        <f>(1+O12)^(1/12)-1</f>
        <v>9.6763780332134175E-3</v>
      </c>
      <c r="P13" s="16" t="s">
        <v>7</v>
      </c>
      <c r="Q13" s="16" t="s">
        <v>37</v>
      </c>
      <c r="R13" s="16"/>
    </row>
    <row r="18" spans="2:12" x14ac:dyDescent="0.45">
      <c r="G18" s="45" t="s">
        <v>0</v>
      </c>
      <c r="H18" s="45"/>
      <c r="I18" s="45"/>
      <c r="J18" s="45"/>
      <c r="K18" s="45"/>
      <c r="L18" s="45"/>
    </row>
    <row r="19" spans="2:12" x14ac:dyDescent="0.45">
      <c r="G19" s="45" t="s">
        <v>43</v>
      </c>
      <c r="H19" s="45"/>
      <c r="I19" s="45"/>
      <c r="J19" s="45"/>
      <c r="K19" s="45"/>
      <c r="L19" s="45"/>
    </row>
    <row r="22" spans="2:12" x14ac:dyDescent="0.45">
      <c r="B22" s="13" t="s">
        <v>33</v>
      </c>
    </row>
    <row r="23" spans="2:12" x14ac:dyDescent="0.45">
      <c r="B23" s="13" t="s">
        <v>44</v>
      </c>
    </row>
    <row r="28" spans="2:12" x14ac:dyDescent="0.45">
      <c r="C28" s="12" t="s">
        <v>1</v>
      </c>
      <c r="D28" s="12"/>
      <c r="E28" s="12"/>
      <c r="F28" s="12"/>
      <c r="G28" s="12"/>
      <c r="H28" s="12"/>
    </row>
    <row r="29" spans="2:12" x14ac:dyDescent="0.45">
      <c r="C29" s="45" t="s">
        <v>34</v>
      </c>
      <c r="D29" s="45"/>
      <c r="E29" s="45"/>
      <c r="F29" s="45"/>
      <c r="G29" s="45"/>
      <c r="H29" s="45"/>
      <c r="I29" s="45"/>
      <c r="J29" s="45"/>
      <c r="K29" s="45"/>
    </row>
  </sheetData>
  <mergeCells count="3">
    <mergeCell ref="G18:L18"/>
    <mergeCell ref="G19:L19"/>
    <mergeCell ref="C29:K2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Exemplo I</vt:lpstr>
      <vt:lpstr>Exemplo II</vt:lpstr>
      <vt:lpstr>Exemplo III</vt:lpstr>
      <vt:lpstr>Exemplo IV</vt:lpstr>
      <vt:lpstr>Exemplo V</vt:lpstr>
      <vt:lpstr>Exemplo VI</vt:lpstr>
      <vt:lpstr>Exemplo VII</vt:lpstr>
      <vt:lpstr>Exemplo VIII</vt:lpstr>
      <vt:lpstr>Exemplo IX</vt:lpstr>
      <vt:lpstr>Exemplo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unifei</dc:creator>
  <cp:lastModifiedBy>Rafael Miranda</cp:lastModifiedBy>
  <dcterms:created xsi:type="dcterms:W3CDTF">2020-04-04T18:54:45Z</dcterms:created>
  <dcterms:modified xsi:type="dcterms:W3CDTF">2022-09-14T23:21:47Z</dcterms:modified>
</cp:coreProperties>
</file>