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EPR502\Aulas 2020\Aula 07 EPR502\Arquivos das aulas RTE\"/>
    </mc:Choice>
  </mc:AlternateContent>
  <bookViews>
    <workbookView xWindow="0" yWindow="0" windowWidth="28800" windowHeight="12435"/>
  </bookViews>
  <sheets>
    <sheet name="VPL" sheetId="1" r:id="rId1"/>
    <sheet name="MMC" sheetId="2" r:id="rId2"/>
    <sheet name="TIR" sheetId="3" r:id="rId3"/>
    <sheet name="Aluguel" sheetId="6" r:id="rId4"/>
    <sheet name="Vidas Perpétuas" sheetId="5" r:id="rId5"/>
    <sheet name="Restrições financeiras" sheetId="4" r:id="rId6"/>
  </sheets>
  <calcPr calcId="152511"/>
</workbook>
</file>

<file path=xl/calcChain.xml><?xml version="1.0" encoding="utf-8"?>
<calcChain xmlns="http://schemas.openxmlformats.org/spreadsheetml/2006/main">
  <c r="M7" i="6" l="1"/>
  <c r="M8" i="6"/>
  <c r="M9" i="6"/>
  <c r="I34" i="4" l="1"/>
  <c r="G34" i="4"/>
  <c r="F34" i="4"/>
  <c r="I33" i="4"/>
  <c r="G33" i="4"/>
  <c r="F33" i="4"/>
  <c r="I32" i="4"/>
  <c r="G32" i="4"/>
  <c r="F32" i="4"/>
  <c r="I31" i="4"/>
  <c r="G31" i="4"/>
  <c r="F31" i="4"/>
  <c r="H28" i="4"/>
  <c r="G28" i="4"/>
  <c r="F28" i="4"/>
  <c r="H27" i="4"/>
  <c r="G27" i="4"/>
  <c r="F27" i="4"/>
  <c r="F18" i="5"/>
  <c r="O18" i="5"/>
  <c r="K18" i="5"/>
  <c r="M6" i="6"/>
  <c r="H14" i="3" l="1"/>
  <c r="L9" i="3"/>
  <c r="L6" i="3"/>
  <c r="H9" i="3"/>
  <c r="H12" i="3"/>
  <c r="H11" i="3"/>
  <c r="K32" i="1"/>
  <c r="G32" i="1"/>
  <c r="O50" i="2"/>
  <c r="J50" i="2"/>
  <c r="O49" i="2"/>
  <c r="J49" i="2"/>
  <c r="O29" i="2"/>
  <c r="O47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11" i="2"/>
  <c r="N47" i="2"/>
  <c r="M29" i="2"/>
  <c r="J23" i="2"/>
  <c r="J35" i="2"/>
  <c r="J12" i="2"/>
  <c r="J13" i="2"/>
  <c r="J14" i="2"/>
  <c r="J15" i="2"/>
  <c r="J16" i="2"/>
  <c r="J17" i="2"/>
  <c r="J18" i="2"/>
  <c r="J19" i="2"/>
  <c r="J20" i="2"/>
  <c r="J21" i="2"/>
  <c r="J22" i="2"/>
  <c r="J24" i="2"/>
  <c r="J25" i="2"/>
  <c r="J26" i="2"/>
  <c r="J27" i="2"/>
  <c r="J28" i="2"/>
  <c r="J29" i="2"/>
  <c r="J30" i="2"/>
  <c r="J31" i="2"/>
  <c r="J32" i="2"/>
  <c r="J33" i="2"/>
  <c r="J34" i="2"/>
  <c r="J36" i="2"/>
  <c r="J37" i="2"/>
  <c r="J38" i="2"/>
  <c r="J39" i="2"/>
  <c r="J40" i="2"/>
  <c r="J41" i="2"/>
  <c r="J42" i="2"/>
  <c r="J43" i="2"/>
  <c r="J44" i="2"/>
  <c r="J45" i="2"/>
  <c r="J46" i="2"/>
  <c r="J47" i="2"/>
  <c r="J11" i="2"/>
  <c r="M8" i="2"/>
  <c r="K31" i="1"/>
  <c r="G31" i="1"/>
  <c r="K33" i="1"/>
  <c r="G33" i="1"/>
  <c r="K29" i="1"/>
</calcChain>
</file>

<file path=xl/sharedStrings.xml><?xml version="1.0" encoding="utf-8"?>
<sst xmlns="http://schemas.openxmlformats.org/spreadsheetml/2006/main" count="101" uniqueCount="41">
  <si>
    <t>Data</t>
  </si>
  <si>
    <t>FC</t>
  </si>
  <si>
    <t>VPL</t>
  </si>
  <si>
    <t>VA</t>
  </si>
  <si>
    <t>aa</t>
  </si>
  <si>
    <t>TMA</t>
  </si>
  <si>
    <t>MMC</t>
  </si>
  <si>
    <t>Máquina X</t>
  </si>
  <si>
    <t>Máquina Y</t>
  </si>
  <si>
    <t>TIR1</t>
  </si>
  <si>
    <t>TIR2</t>
  </si>
  <si>
    <t>MTIR</t>
  </si>
  <si>
    <t>TIR</t>
  </si>
  <si>
    <t>DATA</t>
  </si>
  <si>
    <t>A</t>
  </si>
  <si>
    <t>B</t>
  </si>
  <si>
    <t>C</t>
  </si>
  <si>
    <t>INV</t>
  </si>
  <si>
    <t>n</t>
  </si>
  <si>
    <t>anos</t>
  </si>
  <si>
    <t>∞</t>
  </si>
  <si>
    <t>i</t>
  </si>
  <si>
    <t>Orçamento</t>
  </si>
  <si>
    <t>TMA=</t>
  </si>
  <si>
    <t>Investimento</t>
  </si>
  <si>
    <t>Projetos</t>
  </si>
  <si>
    <t>Saldo</t>
  </si>
  <si>
    <r>
      <t>→</t>
    </r>
    <r>
      <rPr>
        <sz val="20"/>
        <color rgb="FF000000"/>
        <rFont val="Arial"/>
        <family val="2"/>
      </rPr>
      <t>SUPOSIÇÕES: a vida esperada de cada proposta é de 10 anos. O valor residual esperado de cada proposta é zero. A TMA é de 6% ao ano. O capital total disponível para o investimento é de $ 75.000. Quais projetos deverão ser escolhidos?</t>
    </r>
  </si>
  <si>
    <t>FC1</t>
  </si>
  <si>
    <t>FC2</t>
  </si>
  <si>
    <t>FC3</t>
  </si>
  <si>
    <t>AB</t>
  </si>
  <si>
    <t>AC</t>
  </si>
  <si>
    <t>BC</t>
  </si>
  <si>
    <t>ABC</t>
  </si>
  <si>
    <t>Melhor</t>
  </si>
  <si>
    <t>PGTO</t>
  </si>
  <si>
    <t>$/mês</t>
  </si>
  <si>
    <t>am</t>
  </si>
  <si>
    <t>VN</t>
  </si>
  <si>
    <t>Inviável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</si>
</sst>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#,##0.00;[Red]\-&quot;R$&quot;#,##0.00"/>
    <numFmt numFmtId="165" formatCode="_-&quot;R$&quot;* #,##0.00_-;\-&quot;R$&quot;* #,##0.00_-;_-&quot;R$&quot;* &quot;-&quot;??_-;_-@_-"/>
    <numFmt numFmtId="166" formatCode="0.00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0"/>
      <color rgb="FF000000"/>
      <name val="Arial"/>
      <family val="2"/>
    </font>
    <font>
      <b/>
      <sz val="14"/>
      <color rgb="FF0000FF"/>
      <name val="Calibri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9" fontId="4" fillId="2" borderId="0" xfId="0" applyNumberFormat="1" applyFont="1" applyFill="1"/>
    <xf numFmtId="44" fontId="4" fillId="2" borderId="0" xfId="1" applyFont="1" applyFill="1"/>
    <xf numFmtId="0" fontId="5" fillId="2" borderId="0" xfId="0" applyFont="1" applyFill="1"/>
    <xf numFmtId="9" fontId="4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4" fontId="4" fillId="2" borderId="1" xfId="1" applyFont="1" applyFill="1" applyBorder="1" applyAlignment="1">
      <alignment horizontal="center"/>
    </xf>
    <xf numFmtId="44" fontId="4" fillId="2" borderId="1" xfId="0" applyNumberFormat="1" applyFont="1" applyFill="1" applyBorder="1"/>
    <xf numFmtId="8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44" fontId="4" fillId="2" borderId="1" xfId="1" applyFont="1" applyFill="1" applyBorder="1"/>
    <xf numFmtId="9" fontId="4" fillId="2" borderId="1" xfId="0" applyNumberFormat="1" applyFont="1" applyFill="1" applyBorder="1"/>
    <xf numFmtId="8" fontId="5" fillId="2" borderId="1" xfId="0" applyNumberFormat="1" applyFont="1" applyFill="1" applyBorder="1"/>
    <xf numFmtId="10" fontId="4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8" fontId="5" fillId="2" borderId="1" xfId="1" applyNumberFormat="1" applyFont="1" applyFill="1" applyBorder="1"/>
    <xf numFmtId="9" fontId="4" fillId="2" borderId="1" xfId="0" applyNumberFormat="1" applyFont="1" applyFill="1" applyBorder="1" applyAlignment="1">
      <alignment horizontal="center"/>
    </xf>
    <xf numFmtId="8" fontId="3" fillId="2" borderId="0" xfId="0" applyNumberFormat="1" applyFont="1" applyFill="1"/>
    <xf numFmtId="0" fontId="4" fillId="2" borderId="0" xfId="0" applyFont="1" applyFill="1" applyBorder="1" applyAlignment="1">
      <alignment horizontal="center"/>
    </xf>
    <xf numFmtId="8" fontId="4" fillId="2" borderId="0" xfId="1" applyNumberFormat="1" applyFont="1" applyFill="1" applyBorder="1" applyAlignment="1">
      <alignment horizontal="center"/>
    </xf>
    <xf numFmtId="44" fontId="4" fillId="2" borderId="0" xfId="1" applyFont="1" applyFill="1" applyBorder="1" applyAlignment="1">
      <alignment horizontal="center"/>
    </xf>
    <xf numFmtId="0" fontId="3" fillId="2" borderId="0" xfId="0" applyFont="1" applyFill="1" applyBorder="1"/>
    <xf numFmtId="10" fontId="3" fillId="2" borderId="0" xfId="0" applyNumberFormat="1" applyFont="1" applyFill="1" applyBorder="1"/>
    <xf numFmtId="9" fontId="3" fillId="2" borderId="0" xfId="0" applyNumberFormat="1" applyFont="1" applyFill="1" applyBorder="1"/>
    <xf numFmtId="8" fontId="4" fillId="2" borderId="0" xfId="0" applyNumberFormat="1" applyFont="1" applyFill="1"/>
    <xf numFmtId="44" fontId="4" fillId="2" borderId="0" xfId="0" applyNumberFormat="1" applyFont="1" applyFill="1"/>
    <xf numFmtId="44" fontId="4" fillId="2" borderId="0" xfId="0" applyNumberFormat="1" applyFont="1" applyFill="1" applyAlignment="1">
      <alignment horizontal="center"/>
    </xf>
    <xf numFmtId="8" fontId="4" fillId="2" borderId="0" xfId="0" applyNumberFormat="1" applyFont="1" applyFill="1" applyAlignment="1">
      <alignment horizontal="center"/>
    </xf>
    <xf numFmtId="10" fontId="4" fillId="2" borderId="0" xfId="0" applyNumberFormat="1" applyFont="1" applyFill="1" applyAlignment="1">
      <alignment horizontal="center"/>
    </xf>
    <xf numFmtId="44" fontId="4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44" fontId="0" fillId="2" borderId="0" xfId="0" applyNumberFormat="1" applyFill="1"/>
    <xf numFmtId="9" fontId="4" fillId="2" borderId="2" xfId="0" applyNumberFormat="1" applyFont="1" applyFill="1" applyBorder="1" applyAlignment="1">
      <alignment horizontal="right"/>
    </xf>
    <xf numFmtId="0" fontId="4" fillId="2" borderId="3" xfId="0" applyFont="1" applyFill="1" applyBorder="1"/>
    <xf numFmtId="0" fontId="4" fillId="2" borderId="0" xfId="0" applyFont="1" applyFill="1" applyAlignment="1">
      <alignment horizontal="center"/>
    </xf>
    <xf numFmtId="8" fontId="4" fillId="2" borderId="0" xfId="0" applyNumberFormat="1" applyFont="1" applyFill="1" applyBorder="1" applyAlignment="1">
      <alignment horizontal="center"/>
    </xf>
    <xf numFmtId="10" fontId="4" fillId="2" borderId="0" xfId="0" applyNumberFormat="1" applyFont="1" applyFill="1" applyBorder="1" applyAlignment="1">
      <alignment horizontal="center"/>
    </xf>
    <xf numFmtId="8" fontId="4" fillId="0" borderId="1" xfId="0" applyNumberFormat="1" applyFont="1" applyFill="1" applyBorder="1" applyAlignment="1">
      <alignment horizontal="center"/>
    </xf>
    <xf numFmtId="44" fontId="4" fillId="0" borderId="1" xfId="0" applyNumberFormat="1" applyFont="1" applyFill="1" applyBorder="1" applyAlignment="1">
      <alignment horizontal="center"/>
    </xf>
    <xf numFmtId="0" fontId="4" fillId="2" borderId="0" xfId="0" applyFont="1" applyFill="1" applyBorder="1"/>
    <xf numFmtId="0" fontId="9" fillId="2" borderId="0" xfId="0" applyFont="1" applyFill="1" applyBorder="1" applyAlignment="1">
      <alignment horizontal="center"/>
    </xf>
    <xf numFmtId="44" fontId="4" fillId="2" borderId="0" xfId="1" applyFont="1" applyFill="1" applyBorder="1"/>
    <xf numFmtId="0" fontId="3" fillId="2" borderId="0" xfId="0" applyFont="1" applyFill="1" applyAlignment="1">
      <alignment horizontal="center"/>
    </xf>
    <xf numFmtId="0" fontId="3" fillId="2" borderId="0" xfId="0" applyFont="1" applyFill="1" applyBorder="1" applyAlignment="1">
      <alignment horizontal="center"/>
    </xf>
    <xf numFmtId="44" fontId="3" fillId="2" borderId="1" xfId="1" applyFont="1" applyFill="1" applyBorder="1"/>
    <xf numFmtId="44" fontId="5" fillId="2" borderId="1" xfId="1" applyFont="1" applyFill="1" applyBorder="1" applyAlignment="1">
      <alignment horizontal="center"/>
    </xf>
    <xf numFmtId="44" fontId="5" fillId="2" borderId="1" xfId="0" applyNumberFormat="1" applyFont="1" applyFill="1" applyBorder="1"/>
    <xf numFmtId="0" fontId="11" fillId="2" borderId="0" xfId="0" applyFont="1" applyFill="1"/>
    <xf numFmtId="44" fontId="10" fillId="2" borderId="1" xfId="1" applyFont="1" applyFill="1" applyBorder="1" applyAlignment="1">
      <alignment horizontal="center"/>
    </xf>
    <xf numFmtId="9" fontId="4" fillId="3" borderId="1" xfId="0" applyNumberFormat="1" applyFont="1" applyFill="1" applyBorder="1"/>
    <xf numFmtId="0" fontId="4" fillId="4" borderId="0" xfId="0" applyFont="1" applyFill="1"/>
    <xf numFmtId="0" fontId="10" fillId="3" borderId="0" xfId="0" applyFont="1" applyFill="1"/>
    <xf numFmtId="44" fontId="5" fillId="2" borderId="2" xfId="1" applyFont="1" applyFill="1" applyBorder="1" applyAlignment="1">
      <alignment horizontal="center"/>
    </xf>
    <xf numFmtId="44" fontId="10" fillId="2" borderId="2" xfId="1" applyFont="1" applyFill="1" applyBorder="1" applyAlignment="1">
      <alignment horizontal="center"/>
    </xf>
    <xf numFmtId="44" fontId="5" fillId="2" borderId="1" xfId="0" applyNumberFormat="1" applyFont="1" applyFill="1" applyBorder="1" applyAlignment="1">
      <alignment horizontal="center"/>
    </xf>
    <xf numFmtId="44" fontId="5" fillId="2" borderId="1" xfId="1" applyFont="1" applyFill="1" applyBorder="1"/>
    <xf numFmtId="8" fontId="4" fillId="4" borderId="1" xfId="0" applyNumberFormat="1" applyFont="1" applyFill="1" applyBorder="1" applyAlignment="1">
      <alignment horizontal="center"/>
    </xf>
    <xf numFmtId="10" fontId="4" fillId="3" borderId="1" xfId="0" applyNumberFormat="1" applyFont="1" applyFill="1" applyBorder="1" applyAlignment="1">
      <alignment horizontal="center"/>
    </xf>
    <xf numFmtId="10" fontId="4" fillId="4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/>
    <xf numFmtId="165" fontId="4" fillId="2" borderId="1" xfId="0" applyNumberFormat="1" applyFont="1" applyFill="1" applyBorder="1"/>
    <xf numFmtId="165" fontId="5" fillId="2" borderId="1" xfId="0" applyNumberFormat="1" applyFont="1" applyFill="1" applyBorder="1"/>
    <xf numFmtId="166" fontId="4" fillId="2" borderId="1" xfId="2" applyNumberFormat="1" applyFont="1" applyFill="1" applyBorder="1"/>
    <xf numFmtId="0" fontId="5" fillId="5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0</xdr:rowOff>
    </xdr:from>
    <xdr:to>
      <xdr:col>13</xdr:col>
      <xdr:colOff>524669</xdr:colOff>
      <xdr:row>6</xdr:row>
      <xdr:rowOff>55563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0"/>
          <a:ext cx="8099425" cy="14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10</xdr:row>
      <xdr:rowOff>85725</xdr:rowOff>
    </xdr:from>
    <xdr:to>
      <xdr:col>4</xdr:col>
      <xdr:colOff>542925</xdr:colOff>
      <xdr:row>19</xdr:row>
      <xdr:rowOff>223837</xdr:rowOff>
    </xdr:to>
    <xdr:grpSp>
      <xdr:nvGrpSpPr>
        <xdr:cNvPr id="3" name="Grupo 2"/>
        <xdr:cNvGrpSpPr/>
      </xdr:nvGrpSpPr>
      <xdr:grpSpPr>
        <a:xfrm>
          <a:off x="171450" y="2466975"/>
          <a:ext cx="2809875" cy="2281237"/>
          <a:chOff x="1042988" y="1160463"/>
          <a:chExt cx="2809875" cy="2281237"/>
        </a:xfrm>
      </xdr:grpSpPr>
      <xdr:sp macro="" textlink="">
        <xdr:nvSpPr>
          <xdr:cNvPr id="4" name="Line 5"/>
          <xdr:cNvSpPr>
            <a:spLocks noChangeShapeType="1"/>
          </xdr:cNvSpPr>
        </xdr:nvSpPr>
        <xdr:spPr bwMode="auto">
          <a:xfrm flipV="1">
            <a:off x="1935163" y="1984375"/>
            <a:ext cx="1587" cy="719138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5" name="Text Box 6"/>
          <xdr:cNvSpPr txBox="1">
            <a:spLocks noChangeArrowheads="1"/>
          </xdr:cNvSpPr>
        </xdr:nvSpPr>
        <xdr:spPr bwMode="auto">
          <a:xfrm>
            <a:off x="1565275" y="1619250"/>
            <a:ext cx="503238" cy="369888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1</a:t>
            </a:r>
          </a:p>
        </xdr:txBody>
      </xdr:sp>
      <xdr:sp macro="" textlink="">
        <xdr:nvSpPr>
          <xdr:cNvPr id="6" name="Text Box 7"/>
          <xdr:cNvSpPr txBox="1">
            <a:spLocks noChangeArrowheads="1"/>
          </xdr:cNvSpPr>
        </xdr:nvSpPr>
        <xdr:spPr bwMode="auto">
          <a:xfrm>
            <a:off x="2139950" y="1619250"/>
            <a:ext cx="503238" cy="369888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2</a:t>
            </a:r>
          </a:p>
        </xdr:txBody>
      </xdr:sp>
      <xdr:grpSp>
        <xdr:nvGrpSpPr>
          <xdr:cNvPr id="7" name="Group 9"/>
          <xdr:cNvGrpSpPr>
            <a:grpSpLocks/>
          </xdr:cNvGrpSpPr>
        </xdr:nvGrpSpPr>
        <xdr:grpSpPr bwMode="auto">
          <a:xfrm>
            <a:off x="2627279" y="1719257"/>
            <a:ext cx="490534" cy="576261"/>
            <a:chOff x="3478" y="2387"/>
            <a:chExt cx="309" cy="363"/>
          </a:xfrm>
        </xdr:grpSpPr>
        <xdr:sp macro="" textlink="">
          <xdr:nvSpPr>
            <xdr:cNvPr id="19" name="Line 10"/>
            <xdr:cNvSpPr>
              <a:spLocks noChangeShapeType="1"/>
            </xdr:cNvSpPr>
          </xdr:nvSpPr>
          <xdr:spPr bwMode="auto">
            <a:xfrm flipV="1">
              <a:off x="3478" y="2387"/>
              <a:ext cx="45" cy="181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20" name="Line 11"/>
            <xdr:cNvSpPr>
              <a:spLocks noChangeShapeType="1"/>
            </xdr:cNvSpPr>
          </xdr:nvSpPr>
          <xdr:spPr bwMode="auto">
            <a:xfrm>
              <a:off x="3515" y="2387"/>
              <a:ext cx="227" cy="363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21" name="Line 12"/>
            <xdr:cNvSpPr>
              <a:spLocks noChangeShapeType="1"/>
            </xdr:cNvSpPr>
          </xdr:nvSpPr>
          <xdr:spPr bwMode="auto">
            <a:xfrm flipV="1">
              <a:off x="3742" y="2568"/>
              <a:ext cx="45" cy="182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</xdr:grpSp>
      <xdr:sp macro="" textlink="">
        <xdr:nvSpPr>
          <xdr:cNvPr id="8" name="Line 13"/>
          <xdr:cNvSpPr>
            <a:spLocks noChangeShapeType="1"/>
          </xdr:cNvSpPr>
        </xdr:nvSpPr>
        <xdr:spPr bwMode="auto">
          <a:xfrm>
            <a:off x="1258888" y="1989138"/>
            <a:ext cx="1368425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9" name="Line 14"/>
          <xdr:cNvSpPr>
            <a:spLocks noChangeShapeType="1"/>
          </xdr:cNvSpPr>
        </xdr:nvSpPr>
        <xdr:spPr bwMode="auto">
          <a:xfrm>
            <a:off x="3132138" y="2041525"/>
            <a:ext cx="720725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10" name="Text Box 15"/>
          <xdr:cNvSpPr txBox="1">
            <a:spLocks noChangeArrowheads="1"/>
          </xdr:cNvSpPr>
        </xdr:nvSpPr>
        <xdr:spPr bwMode="auto">
          <a:xfrm>
            <a:off x="3249613" y="1670050"/>
            <a:ext cx="503237" cy="369888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12</a:t>
            </a:r>
          </a:p>
        </xdr:txBody>
      </xdr:sp>
      <xdr:sp macro="" textlink="">
        <xdr:nvSpPr>
          <xdr:cNvPr id="11" name="Line 16"/>
          <xdr:cNvSpPr>
            <a:spLocks noChangeShapeType="1"/>
          </xdr:cNvSpPr>
        </xdr:nvSpPr>
        <xdr:spPr bwMode="auto">
          <a:xfrm flipV="1">
            <a:off x="2509838" y="1984375"/>
            <a:ext cx="3175" cy="70485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12" name="Line 19"/>
          <xdr:cNvSpPr>
            <a:spLocks noChangeShapeType="1"/>
          </xdr:cNvSpPr>
        </xdr:nvSpPr>
        <xdr:spPr bwMode="auto">
          <a:xfrm flipV="1">
            <a:off x="1258888" y="1968500"/>
            <a:ext cx="0" cy="122555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13" name="Text Box 20"/>
          <xdr:cNvSpPr txBox="1">
            <a:spLocks noChangeArrowheads="1"/>
          </xdr:cNvSpPr>
        </xdr:nvSpPr>
        <xdr:spPr bwMode="auto">
          <a:xfrm>
            <a:off x="1116013" y="1617663"/>
            <a:ext cx="503237" cy="369887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0</a:t>
            </a:r>
          </a:p>
        </xdr:txBody>
      </xdr:sp>
      <xdr:sp macro="" textlink="">
        <xdr:nvSpPr>
          <xdr:cNvPr id="14" name="Line 21"/>
          <xdr:cNvSpPr>
            <a:spLocks noChangeShapeType="1"/>
          </xdr:cNvSpPr>
        </xdr:nvSpPr>
        <xdr:spPr bwMode="auto">
          <a:xfrm flipH="1" flipV="1">
            <a:off x="3319463" y="2038350"/>
            <a:ext cx="1587" cy="70485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15" name="Line 23"/>
          <xdr:cNvSpPr>
            <a:spLocks noChangeShapeType="1"/>
          </xdr:cNvSpPr>
        </xdr:nvSpPr>
        <xdr:spPr bwMode="auto">
          <a:xfrm>
            <a:off x="1763713" y="2781300"/>
            <a:ext cx="1584325" cy="0"/>
          </a:xfrm>
          <a:prstGeom prst="line">
            <a:avLst/>
          </a:prstGeom>
          <a:noFill/>
          <a:ln w="25400">
            <a:solidFill>
              <a:schemeClr val="tx1"/>
            </a:solidFill>
            <a:prstDash val="dash"/>
            <a:round/>
            <a:headEnd/>
            <a:tailEnd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16" name="Text Box 24"/>
          <xdr:cNvSpPr txBox="1">
            <a:spLocks noChangeArrowheads="1"/>
          </xdr:cNvSpPr>
        </xdr:nvSpPr>
        <xdr:spPr bwMode="auto">
          <a:xfrm>
            <a:off x="1617663" y="1160463"/>
            <a:ext cx="1801812" cy="33813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Máquina X</a:t>
            </a:r>
          </a:p>
        </xdr:txBody>
      </xdr:sp>
      <xdr:sp macro="" textlink="">
        <xdr:nvSpPr>
          <xdr:cNvPr id="17" name="Text Box 25"/>
          <xdr:cNvSpPr txBox="1">
            <a:spLocks noChangeArrowheads="1"/>
          </xdr:cNvSpPr>
        </xdr:nvSpPr>
        <xdr:spPr bwMode="auto">
          <a:xfrm>
            <a:off x="2051050" y="2708275"/>
            <a:ext cx="936625" cy="3381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4.000</a:t>
            </a:r>
          </a:p>
        </xdr:txBody>
      </xdr:sp>
      <xdr:sp macro="" textlink="">
        <xdr:nvSpPr>
          <xdr:cNvPr id="18" name="Text Box 47"/>
          <xdr:cNvSpPr txBox="1">
            <a:spLocks noChangeArrowheads="1"/>
          </xdr:cNvSpPr>
        </xdr:nvSpPr>
        <xdr:spPr bwMode="auto">
          <a:xfrm>
            <a:off x="1042988" y="3103563"/>
            <a:ext cx="1009650" cy="33813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6.000</a:t>
            </a:r>
          </a:p>
        </xdr:txBody>
      </xdr:sp>
    </xdr:grpSp>
    <xdr:clientData/>
  </xdr:twoCellAnchor>
  <xdr:twoCellAnchor>
    <xdr:from>
      <xdr:col>11</xdr:col>
      <xdr:colOff>581025</xdr:colOff>
      <xdr:row>9</xdr:row>
      <xdr:rowOff>209550</xdr:rowOff>
    </xdr:from>
    <xdr:to>
      <xdr:col>17</xdr:col>
      <xdr:colOff>92075</xdr:colOff>
      <xdr:row>20</xdr:row>
      <xdr:rowOff>125413</xdr:rowOff>
    </xdr:to>
    <xdr:grpSp>
      <xdr:nvGrpSpPr>
        <xdr:cNvPr id="22" name="Grupo 21"/>
        <xdr:cNvGrpSpPr/>
      </xdr:nvGrpSpPr>
      <xdr:grpSpPr>
        <a:xfrm>
          <a:off x="8505825" y="2352675"/>
          <a:ext cx="3311525" cy="2535238"/>
          <a:chOff x="971550" y="3463925"/>
          <a:chExt cx="3168650" cy="2535238"/>
        </a:xfrm>
      </xdr:grpSpPr>
      <xdr:sp macro="" textlink="">
        <xdr:nvSpPr>
          <xdr:cNvPr id="23" name="Line 26"/>
          <xdr:cNvSpPr>
            <a:spLocks noChangeShapeType="1"/>
          </xdr:cNvSpPr>
        </xdr:nvSpPr>
        <xdr:spPr bwMode="auto">
          <a:xfrm flipV="1">
            <a:off x="1862138" y="4508500"/>
            <a:ext cx="1587" cy="719138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24" name="Text Box 27"/>
          <xdr:cNvSpPr txBox="1">
            <a:spLocks noChangeArrowheads="1"/>
          </xdr:cNvSpPr>
        </xdr:nvSpPr>
        <xdr:spPr bwMode="auto">
          <a:xfrm>
            <a:off x="1492250" y="4143375"/>
            <a:ext cx="503238" cy="369888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1</a:t>
            </a:r>
          </a:p>
        </xdr:txBody>
      </xdr:sp>
      <xdr:sp macro="" textlink="">
        <xdr:nvSpPr>
          <xdr:cNvPr id="25" name="Text Box 28"/>
          <xdr:cNvSpPr txBox="1">
            <a:spLocks noChangeArrowheads="1"/>
          </xdr:cNvSpPr>
        </xdr:nvSpPr>
        <xdr:spPr bwMode="auto">
          <a:xfrm>
            <a:off x="2066925" y="4143375"/>
            <a:ext cx="503238" cy="369888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2</a:t>
            </a:r>
          </a:p>
        </xdr:txBody>
      </xdr:sp>
      <xdr:grpSp>
        <xdr:nvGrpSpPr>
          <xdr:cNvPr id="26" name="Group 30"/>
          <xdr:cNvGrpSpPr>
            <a:grpSpLocks/>
          </xdr:cNvGrpSpPr>
        </xdr:nvGrpSpPr>
        <xdr:grpSpPr bwMode="auto">
          <a:xfrm>
            <a:off x="2503454" y="4205282"/>
            <a:ext cx="490534" cy="576261"/>
            <a:chOff x="3478" y="2387"/>
            <a:chExt cx="309" cy="363"/>
          </a:xfrm>
        </xdr:grpSpPr>
        <xdr:sp macro="" textlink="">
          <xdr:nvSpPr>
            <xdr:cNvPr id="40" name="Line 31"/>
            <xdr:cNvSpPr>
              <a:spLocks noChangeShapeType="1"/>
            </xdr:cNvSpPr>
          </xdr:nvSpPr>
          <xdr:spPr bwMode="auto">
            <a:xfrm flipV="1">
              <a:off x="3478" y="2387"/>
              <a:ext cx="45" cy="181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41" name="Line 32"/>
            <xdr:cNvSpPr>
              <a:spLocks noChangeShapeType="1"/>
            </xdr:cNvSpPr>
          </xdr:nvSpPr>
          <xdr:spPr bwMode="auto">
            <a:xfrm>
              <a:off x="3515" y="2387"/>
              <a:ext cx="227" cy="363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42" name="Line 33"/>
            <xdr:cNvSpPr>
              <a:spLocks noChangeShapeType="1"/>
            </xdr:cNvSpPr>
          </xdr:nvSpPr>
          <xdr:spPr bwMode="auto">
            <a:xfrm flipV="1">
              <a:off x="3742" y="2568"/>
              <a:ext cx="45" cy="182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</xdr:grpSp>
      <xdr:sp macro="" textlink="">
        <xdr:nvSpPr>
          <xdr:cNvPr id="27" name="Line 34"/>
          <xdr:cNvSpPr>
            <a:spLocks noChangeShapeType="1"/>
          </xdr:cNvSpPr>
        </xdr:nvSpPr>
        <xdr:spPr bwMode="auto">
          <a:xfrm>
            <a:off x="1187450" y="4508500"/>
            <a:ext cx="1296988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28" name="Line 35"/>
          <xdr:cNvSpPr>
            <a:spLocks noChangeShapeType="1"/>
          </xdr:cNvSpPr>
        </xdr:nvSpPr>
        <xdr:spPr bwMode="auto">
          <a:xfrm flipV="1">
            <a:off x="2981325" y="4494213"/>
            <a:ext cx="1008063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29" name="Text Box 36"/>
          <xdr:cNvSpPr txBox="1">
            <a:spLocks noChangeArrowheads="1"/>
          </xdr:cNvSpPr>
        </xdr:nvSpPr>
        <xdr:spPr bwMode="auto">
          <a:xfrm>
            <a:off x="3222625" y="4127500"/>
            <a:ext cx="503238" cy="369888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18</a:t>
            </a:r>
          </a:p>
        </xdr:txBody>
      </xdr:sp>
      <xdr:sp macro="" textlink="">
        <xdr:nvSpPr>
          <xdr:cNvPr id="30" name="Line 37"/>
          <xdr:cNvSpPr>
            <a:spLocks noChangeShapeType="1"/>
          </xdr:cNvSpPr>
        </xdr:nvSpPr>
        <xdr:spPr bwMode="auto">
          <a:xfrm flipV="1">
            <a:off x="2436813" y="4508500"/>
            <a:ext cx="3175" cy="70485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31" name="Line 39"/>
          <xdr:cNvSpPr>
            <a:spLocks noChangeShapeType="1"/>
          </xdr:cNvSpPr>
        </xdr:nvSpPr>
        <xdr:spPr bwMode="auto">
          <a:xfrm flipV="1">
            <a:off x="1185863" y="4492625"/>
            <a:ext cx="0" cy="122555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32" name="Text Box 40"/>
          <xdr:cNvSpPr txBox="1">
            <a:spLocks noChangeArrowheads="1"/>
          </xdr:cNvSpPr>
        </xdr:nvSpPr>
        <xdr:spPr bwMode="auto">
          <a:xfrm>
            <a:off x="1042988" y="4141788"/>
            <a:ext cx="503237" cy="369887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0</a:t>
            </a:r>
          </a:p>
        </xdr:txBody>
      </xdr:sp>
      <xdr:sp macro="" textlink="">
        <xdr:nvSpPr>
          <xdr:cNvPr id="33" name="Line 41"/>
          <xdr:cNvSpPr>
            <a:spLocks noChangeShapeType="1"/>
          </xdr:cNvSpPr>
        </xdr:nvSpPr>
        <xdr:spPr bwMode="auto">
          <a:xfrm flipH="1" flipV="1">
            <a:off x="3629025" y="4524375"/>
            <a:ext cx="1588" cy="70485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34" name="Line 42"/>
          <xdr:cNvSpPr>
            <a:spLocks noChangeShapeType="1"/>
          </xdr:cNvSpPr>
        </xdr:nvSpPr>
        <xdr:spPr bwMode="auto">
          <a:xfrm flipV="1">
            <a:off x="1792288" y="5229225"/>
            <a:ext cx="1843087" cy="0"/>
          </a:xfrm>
          <a:prstGeom prst="line">
            <a:avLst/>
          </a:prstGeom>
          <a:noFill/>
          <a:ln w="25400">
            <a:solidFill>
              <a:schemeClr val="tx1"/>
            </a:solidFill>
            <a:prstDash val="dash"/>
            <a:round/>
            <a:headEnd/>
            <a:tailEnd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35" name="Text Box 43"/>
          <xdr:cNvSpPr txBox="1">
            <a:spLocks noChangeArrowheads="1"/>
          </xdr:cNvSpPr>
        </xdr:nvSpPr>
        <xdr:spPr bwMode="auto">
          <a:xfrm>
            <a:off x="1619250" y="3679825"/>
            <a:ext cx="1801813" cy="3381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Máquina Y</a:t>
            </a:r>
          </a:p>
        </xdr:txBody>
      </xdr:sp>
      <xdr:sp macro="" textlink="">
        <xdr:nvSpPr>
          <xdr:cNvPr id="36" name="Text Box 44"/>
          <xdr:cNvSpPr txBox="1">
            <a:spLocks noChangeArrowheads="1"/>
          </xdr:cNvSpPr>
        </xdr:nvSpPr>
        <xdr:spPr bwMode="auto">
          <a:xfrm>
            <a:off x="2446338" y="4868863"/>
            <a:ext cx="1150937" cy="33813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2.400</a:t>
            </a:r>
          </a:p>
        </xdr:txBody>
      </xdr:sp>
      <xdr:sp macro="" textlink="">
        <xdr:nvSpPr>
          <xdr:cNvPr id="37" name="Text Box 48"/>
          <xdr:cNvSpPr txBox="1">
            <a:spLocks noChangeArrowheads="1"/>
          </xdr:cNvSpPr>
        </xdr:nvSpPr>
        <xdr:spPr bwMode="auto">
          <a:xfrm>
            <a:off x="971550" y="5661025"/>
            <a:ext cx="1152525" cy="3381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14.000</a:t>
            </a:r>
          </a:p>
        </xdr:txBody>
      </xdr:sp>
      <xdr:sp macro="" textlink="">
        <xdr:nvSpPr>
          <xdr:cNvPr id="38" name="Line 49"/>
          <xdr:cNvSpPr>
            <a:spLocks noChangeShapeType="1"/>
          </xdr:cNvSpPr>
        </xdr:nvSpPr>
        <xdr:spPr bwMode="auto">
          <a:xfrm flipH="1" flipV="1">
            <a:off x="3635375" y="3784600"/>
            <a:ext cx="1588" cy="704850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39" name="Text Box 50"/>
          <xdr:cNvSpPr txBox="1">
            <a:spLocks noChangeArrowheads="1"/>
          </xdr:cNvSpPr>
        </xdr:nvSpPr>
        <xdr:spPr bwMode="auto">
          <a:xfrm>
            <a:off x="3203575" y="3463925"/>
            <a:ext cx="936625" cy="3381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2.800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0</xdr:row>
      <xdr:rowOff>0</xdr:rowOff>
    </xdr:from>
    <xdr:to>
      <xdr:col>13</xdr:col>
      <xdr:colOff>231775</xdr:colOff>
      <xdr:row>6</xdr:row>
      <xdr:rowOff>55563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0"/>
          <a:ext cx="8099425" cy="14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294924</xdr:colOff>
      <xdr:row>53</xdr:row>
      <xdr:rowOff>57152</xdr:rowOff>
    </xdr:from>
    <xdr:to>
      <xdr:col>10</xdr:col>
      <xdr:colOff>87963</xdr:colOff>
      <xdr:row>61</xdr:row>
      <xdr:rowOff>19054</xdr:rowOff>
    </xdr:to>
    <xdr:grpSp>
      <xdr:nvGrpSpPr>
        <xdr:cNvPr id="4" name="Group 78"/>
        <xdr:cNvGrpSpPr>
          <a:grpSpLocks/>
        </xdr:cNvGrpSpPr>
      </xdr:nvGrpSpPr>
      <xdr:grpSpPr bwMode="auto">
        <a:xfrm>
          <a:off x="294924" y="12677777"/>
          <a:ext cx="8117889" cy="1866902"/>
          <a:chOff x="703" y="1310"/>
          <a:chExt cx="4347" cy="1176"/>
        </a:xfrm>
      </xdr:grpSpPr>
      <xdr:sp macro="" textlink="">
        <xdr:nvSpPr>
          <xdr:cNvPr id="5" name="Line 6"/>
          <xdr:cNvSpPr>
            <a:spLocks noChangeShapeType="1"/>
          </xdr:cNvSpPr>
        </xdr:nvSpPr>
        <xdr:spPr bwMode="auto">
          <a:xfrm flipV="1">
            <a:off x="1265" y="1568"/>
            <a:ext cx="1" cy="453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6" name="Text Box 7"/>
          <xdr:cNvSpPr txBox="1">
            <a:spLocks noChangeArrowheads="1"/>
          </xdr:cNvSpPr>
        </xdr:nvSpPr>
        <xdr:spPr bwMode="auto">
          <a:xfrm>
            <a:off x="1032" y="1338"/>
            <a:ext cx="317" cy="233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1</a:t>
            </a:r>
          </a:p>
        </xdr:txBody>
      </xdr:sp>
      <xdr:sp macro="" textlink="">
        <xdr:nvSpPr>
          <xdr:cNvPr id="7" name="Text Box 8"/>
          <xdr:cNvSpPr txBox="1">
            <a:spLocks noChangeArrowheads="1"/>
          </xdr:cNvSpPr>
        </xdr:nvSpPr>
        <xdr:spPr bwMode="auto">
          <a:xfrm>
            <a:off x="1394" y="1338"/>
            <a:ext cx="317" cy="233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2</a:t>
            </a:r>
          </a:p>
        </xdr:txBody>
      </xdr:sp>
      <xdr:grpSp>
        <xdr:nvGrpSpPr>
          <xdr:cNvPr id="8" name="Group 9"/>
          <xdr:cNvGrpSpPr>
            <a:grpSpLocks/>
          </xdr:cNvGrpSpPr>
        </xdr:nvGrpSpPr>
        <xdr:grpSpPr bwMode="auto">
          <a:xfrm>
            <a:off x="1701" y="1401"/>
            <a:ext cx="309" cy="363"/>
            <a:chOff x="3478" y="2387"/>
            <a:chExt cx="309" cy="363"/>
          </a:xfrm>
        </xdr:grpSpPr>
        <xdr:sp macro="" textlink="">
          <xdr:nvSpPr>
            <xdr:cNvPr id="46" name="Line 10"/>
            <xdr:cNvSpPr>
              <a:spLocks noChangeShapeType="1"/>
            </xdr:cNvSpPr>
          </xdr:nvSpPr>
          <xdr:spPr bwMode="auto">
            <a:xfrm flipV="1">
              <a:off x="3478" y="2387"/>
              <a:ext cx="45" cy="181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47" name="Line 11"/>
            <xdr:cNvSpPr>
              <a:spLocks noChangeShapeType="1"/>
            </xdr:cNvSpPr>
          </xdr:nvSpPr>
          <xdr:spPr bwMode="auto">
            <a:xfrm>
              <a:off x="3515" y="2387"/>
              <a:ext cx="227" cy="363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48" name="Line 12"/>
            <xdr:cNvSpPr>
              <a:spLocks noChangeShapeType="1"/>
            </xdr:cNvSpPr>
          </xdr:nvSpPr>
          <xdr:spPr bwMode="auto">
            <a:xfrm flipV="1">
              <a:off x="3742" y="2568"/>
              <a:ext cx="45" cy="182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</xdr:grpSp>
      <xdr:sp macro="" textlink="">
        <xdr:nvSpPr>
          <xdr:cNvPr id="9" name="Line 13"/>
          <xdr:cNvSpPr>
            <a:spLocks noChangeShapeType="1"/>
          </xdr:cNvSpPr>
        </xdr:nvSpPr>
        <xdr:spPr bwMode="auto">
          <a:xfrm>
            <a:off x="839" y="1571"/>
            <a:ext cx="862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10" name="Line 14"/>
          <xdr:cNvSpPr>
            <a:spLocks noChangeShapeType="1"/>
          </xdr:cNvSpPr>
        </xdr:nvSpPr>
        <xdr:spPr bwMode="auto">
          <a:xfrm>
            <a:off x="1999" y="1570"/>
            <a:ext cx="454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11" name="Text Box 15"/>
          <xdr:cNvSpPr txBox="1">
            <a:spLocks noChangeArrowheads="1"/>
          </xdr:cNvSpPr>
        </xdr:nvSpPr>
        <xdr:spPr bwMode="auto">
          <a:xfrm>
            <a:off x="1999" y="1351"/>
            <a:ext cx="317" cy="233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12</a:t>
            </a:r>
          </a:p>
        </xdr:txBody>
      </xdr:sp>
      <xdr:sp macro="" textlink="">
        <xdr:nvSpPr>
          <xdr:cNvPr id="12" name="Line 16"/>
          <xdr:cNvSpPr>
            <a:spLocks noChangeShapeType="1"/>
          </xdr:cNvSpPr>
        </xdr:nvSpPr>
        <xdr:spPr bwMode="auto">
          <a:xfrm flipV="1">
            <a:off x="1627" y="1568"/>
            <a:ext cx="2" cy="444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 flipV="1">
            <a:off x="839" y="1558"/>
            <a:ext cx="0" cy="772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14" name="Text Box 18"/>
          <xdr:cNvSpPr txBox="1">
            <a:spLocks noChangeArrowheads="1"/>
          </xdr:cNvSpPr>
        </xdr:nvSpPr>
        <xdr:spPr bwMode="auto">
          <a:xfrm>
            <a:off x="749" y="1337"/>
            <a:ext cx="317" cy="233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0</a:t>
            </a:r>
          </a:p>
        </xdr:txBody>
      </xdr:sp>
      <xdr:sp macro="" textlink="">
        <xdr:nvSpPr>
          <xdr:cNvPr id="15" name="Line 19"/>
          <xdr:cNvSpPr>
            <a:spLocks noChangeShapeType="1"/>
          </xdr:cNvSpPr>
        </xdr:nvSpPr>
        <xdr:spPr bwMode="auto">
          <a:xfrm flipH="1" flipV="1">
            <a:off x="2117" y="1604"/>
            <a:ext cx="1" cy="444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16" name="Line 20"/>
          <xdr:cNvSpPr>
            <a:spLocks noChangeShapeType="1"/>
          </xdr:cNvSpPr>
        </xdr:nvSpPr>
        <xdr:spPr bwMode="auto">
          <a:xfrm>
            <a:off x="1157" y="2070"/>
            <a:ext cx="998" cy="0"/>
          </a:xfrm>
          <a:prstGeom prst="line">
            <a:avLst/>
          </a:prstGeom>
          <a:noFill/>
          <a:ln w="25400">
            <a:solidFill>
              <a:schemeClr val="tx1"/>
            </a:solidFill>
            <a:prstDash val="dash"/>
            <a:round/>
            <a:headEnd/>
            <a:tailEnd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17" name="Text Box 22"/>
          <xdr:cNvSpPr txBox="1">
            <a:spLocks noChangeArrowheads="1"/>
          </xdr:cNvSpPr>
        </xdr:nvSpPr>
        <xdr:spPr bwMode="auto">
          <a:xfrm>
            <a:off x="1338" y="2024"/>
            <a:ext cx="590" cy="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4.000</a:t>
            </a:r>
          </a:p>
        </xdr:txBody>
      </xdr:sp>
      <xdr:sp macro="" textlink="">
        <xdr:nvSpPr>
          <xdr:cNvPr id="18" name="Text Box 23"/>
          <xdr:cNvSpPr txBox="1">
            <a:spLocks noChangeArrowheads="1"/>
          </xdr:cNvSpPr>
        </xdr:nvSpPr>
        <xdr:spPr bwMode="auto">
          <a:xfrm>
            <a:off x="703" y="2273"/>
            <a:ext cx="636" cy="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6.000</a:t>
            </a:r>
          </a:p>
        </xdr:txBody>
      </xdr:sp>
      <xdr:sp macro="" textlink="">
        <xdr:nvSpPr>
          <xdr:cNvPr id="19" name="Line 41"/>
          <xdr:cNvSpPr>
            <a:spLocks noChangeShapeType="1"/>
          </xdr:cNvSpPr>
        </xdr:nvSpPr>
        <xdr:spPr bwMode="auto">
          <a:xfrm flipV="1">
            <a:off x="2547" y="1565"/>
            <a:ext cx="1" cy="453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grpSp>
        <xdr:nvGrpSpPr>
          <xdr:cNvPr id="20" name="Group 44"/>
          <xdr:cNvGrpSpPr>
            <a:grpSpLocks/>
          </xdr:cNvGrpSpPr>
        </xdr:nvGrpSpPr>
        <xdr:grpSpPr bwMode="auto">
          <a:xfrm>
            <a:off x="2983" y="1398"/>
            <a:ext cx="309" cy="363"/>
            <a:chOff x="3478" y="2387"/>
            <a:chExt cx="309" cy="363"/>
          </a:xfrm>
        </xdr:grpSpPr>
        <xdr:sp macro="" textlink="">
          <xdr:nvSpPr>
            <xdr:cNvPr id="43" name="Line 45"/>
            <xdr:cNvSpPr>
              <a:spLocks noChangeShapeType="1"/>
            </xdr:cNvSpPr>
          </xdr:nvSpPr>
          <xdr:spPr bwMode="auto">
            <a:xfrm flipV="1">
              <a:off x="3478" y="2387"/>
              <a:ext cx="45" cy="181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44" name="Line 46"/>
            <xdr:cNvSpPr>
              <a:spLocks noChangeShapeType="1"/>
            </xdr:cNvSpPr>
          </xdr:nvSpPr>
          <xdr:spPr bwMode="auto">
            <a:xfrm>
              <a:off x="3515" y="2387"/>
              <a:ext cx="227" cy="363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45" name="Line 47"/>
            <xdr:cNvSpPr>
              <a:spLocks noChangeShapeType="1"/>
            </xdr:cNvSpPr>
          </xdr:nvSpPr>
          <xdr:spPr bwMode="auto">
            <a:xfrm flipV="1">
              <a:off x="3742" y="2568"/>
              <a:ext cx="45" cy="182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</xdr:grpSp>
      <xdr:sp macro="" textlink="">
        <xdr:nvSpPr>
          <xdr:cNvPr id="21" name="Line 48"/>
          <xdr:cNvSpPr>
            <a:spLocks noChangeShapeType="1"/>
          </xdr:cNvSpPr>
        </xdr:nvSpPr>
        <xdr:spPr bwMode="auto">
          <a:xfrm>
            <a:off x="2121" y="1568"/>
            <a:ext cx="862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22" name="Line 51"/>
          <xdr:cNvSpPr>
            <a:spLocks noChangeShapeType="1"/>
          </xdr:cNvSpPr>
        </xdr:nvSpPr>
        <xdr:spPr bwMode="auto">
          <a:xfrm flipV="1">
            <a:off x="2909" y="1565"/>
            <a:ext cx="2" cy="444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23" name="Line 52"/>
          <xdr:cNvSpPr>
            <a:spLocks noChangeShapeType="1"/>
          </xdr:cNvSpPr>
        </xdr:nvSpPr>
        <xdr:spPr bwMode="auto">
          <a:xfrm flipV="1">
            <a:off x="2121" y="1555"/>
            <a:ext cx="0" cy="772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24" name="Line 54"/>
          <xdr:cNvSpPr>
            <a:spLocks noChangeShapeType="1"/>
          </xdr:cNvSpPr>
        </xdr:nvSpPr>
        <xdr:spPr bwMode="auto">
          <a:xfrm flipH="1" flipV="1">
            <a:off x="3419" y="1599"/>
            <a:ext cx="1" cy="444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25" name="Line 55"/>
          <xdr:cNvSpPr>
            <a:spLocks noChangeShapeType="1"/>
          </xdr:cNvSpPr>
        </xdr:nvSpPr>
        <xdr:spPr bwMode="auto">
          <a:xfrm>
            <a:off x="2439" y="2067"/>
            <a:ext cx="998" cy="0"/>
          </a:xfrm>
          <a:prstGeom prst="line">
            <a:avLst/>
          </a:prstGeom>
          <a:noFill/>
          <a:ln w="25400">
            <a:solidFill>
              <a:schemeClr val="tx1"/>
            </a:solidFill>
            <a:prstDash val="dash"/>
            <a:round/>
            <a:headEnd/>
            <a:tailEnd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26" name="Text Box 56"/>
          <xdr:cNvSpPr txBox="1">
            <a:spLocks noChangeArrowheads="1"/>
          </xdr:cNvSpPr>
        </xdr:nvSpPr>
        <xdr:spPr bwMode="auto">
          <a:xfrm>
            <a:off x="2620" y="2021"/>
            <a:ext cx="590" cy="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4.000</a:t>
            </a:r>
          </a:p>
        </xdr:txBody>
      </xdr:sp>
      <xdr:sp macro="" textlink="">
        <xdr:nvSpPr>
          <xdr:cNvPr id="27" name="Text Box 57"/>
          <xdr:cNvSpPr txBox="1">
            <a:spLocks noChangeArrowheads="1"/>
          </xdr:cNvSpPr>
        </xdr:nvSpPr>
        <xdr:spPr bwMode="auto">
          <a:xfrm>
            <a:off x="1985" y="2234"/>
            <a:ext cx="636" cy="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6.000</a:t>
            </a:r>
          </a:p>
        </xdr:txBody>
      </xdr:sp>
      <xdr:sp macro="" textlink="">
        <xdr:nvSpPr>
          <xdr:cNvPr id="28" name="Line 58"/>
          <xdr:cNvSpPr>
            <a:spLocks noChangeShapeType="1"/>
          </xdr:cNvSpPr>
        </xdr:nvSpPr>
        <xdr:spPr bwMode="auto">
          <a:xfrm flipV="1">
            <a:off x="3842" y="1565"/>
            <a:ext cx="1" cy="453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grpSp>
        <xdr:nvGrpSpPr>
          <xdr:cNvPr id="29" name="Group 61"/>
          <xdr:cNvGrpSpPr>
            <a:grpSpLocks/>
          </xdr:cNvGrpSpPr>
        </xdr:nvGrpSpPr>
        <xdr:grpSpPr bwMode="auto">
          <a:xfrm>
            <a:off x="4278" y="1398"/>
            <a:ext cx="309" cy="363"/>
            <a:chOff x="3478" y="2387"/>
            <a:chExt cx="309" cy="363"/>
          </a:xfrm>
        </xdr:grpSpPr>
        <xdr:sp macro="" textlink="">
          <xdr:nvSpPr>
            <xdr:cNvPr id="40" name="Line 62"/>
            <xdr:cNvSpPr>
              <a:spLocks noChangeShapeType="1"/>
            </xdr:cNvSpPr>
          </xdr:nvSpPr>
          <xdr:spPr bwMode="auto">
            <a:xfrm flipV="1">
              <a:off x="3478" y="2387"/>
              <a:ext cx="45" cy="181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41" name="Line 63"/>
            <xdr:cNvSpPr>
              <a:spLocks noChangeShapeType="1"/>
            </xdr:cNvSpPr>
          </xdr:nvSpPr>
          <xdr:spPr bwMode="auto">
            <a:xfrm>
              <a:off x="3515" y="2387"/>
              <a:ext cx="227" cy="363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42" name="Line 64"/>
            <xdr:cNvSpPr>
              <a:spLocks noChangeShapeType="1"/>
            </xdr:cNvSpPr>
          </xdr:nvSpPr>
          <xdr:spPr bwMode="auto">
            <a:xfrm flipV="1">
              <a:off x="3742" y="2568"/>
              <a:ext cx="45" cy="182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</xdr:grpSp>
      <xdr:sp macro="" textlink="">
        <xdr:nvSpPr>
          <xdr:cNvPr id="30" name="Line 65"/>
          <xdr:cNvSpPr>
            <a:spLocks noChangeShapeType="1"/>
          </xdr:cNvSpPr>
        </xdr:nvSpPr>
        <xdr:spPr bwMode="auto">
          <a:xfrm flipV="1">
            <a:off x="3268" y="1568"/>
            <a:ext cx="1010" cy="14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31" name="Line 66"/>
          <xdr:cNvSpPr>
            <a:spLocks noChangeShapeType="1"/>
          </xdr:cNvSpPr>
        </xdr:nvSpPr>
        <xdr:spPr bwMode="auto">
          <a:xfrm>
            <a:off x="4596" y="1601"/>
            <a:ext cx="454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32" name="Text Box 67"/>
          <xdr:cNvSpPr txBox="1">
            <a:spLocks noChangeArrowheads="1"/>
          </xdr:cNvSpPr>
        </xdr:nvSpPr>
        <xdr:spPr bwMode="auto">
          <a:xfrm>
            <a:off x="4596" y="1382"/>
            <a:ext cx="317" cy="233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36</a:t>
            </a:r>
          </a:p>
        </xdr:txBody>
      </xdr:sp>
      <xdr:sp macro="" textlink="">
        <xdr:nvSpPr>
          <xdr:cNvPr id="33" name="Line 68"/>
          <xdr:cNvSpPr>
            <a:spLocks noChangeShapeType="1"/>
          </xdr:cNvSpPr>
        </xdr:nvSpPr>
        <xdr:spPr bwMode="auto">
          <a:xfrm flipV="1">
            <a:off x="4204" y="1565"/>
            <a:ext cx="2" cy="444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34" name="Line 69"/>
          <xdr:cNvSpPr>
            <a:spLocks noChangeShapeType="1"/>
          </xdr:cNvSpPr>
        </xdr:nvSpPr>
        <xdr:spPr bwMode="auto">
          <a:xfrm flipV="1">
            <a:off x="3416" y="1555"/>
            <a:ext cx="0" cy="772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35" name="Line 71"/>
          <xdr:cNvSpPr>
            <a:spLocks noChangeShapeType="1"/>
          </xdr:cNvSpPr>
        </xdr:nvSpPr>
        <xdr:spPr bwMode="auto">
          <a:xfrm flipH="1" flipV="1">
            <a:off x="4714" y="1599"/>
            <a:ext cx="1" cy="444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36" name="Line 72"/>
          <xdr:cNvSpPr>
            <a:spLocks noChangeShapeType="1"/>
          </xdr:cNvSpPr>
        </xdr:nvSpPr>
        <xdr:spPr bwMode="auto">
          <a:xfrm>
            <a:off x="3734" y="2067"/>
            <a:ext cx="998" cy="0"/>
          </a:xfrm>
          <a:prstGeom prst="line">
            <a:avLst/>
          </a:prstGeom>
          <a:noFill/>
          <a:ln w="25400">
            <a:solidFill>
              <a:schemeClr val="tx1"/>
            </a:solidFill>
            <a:prstDash val="dash"/>
            <a:round/>
            <a:headEnd/>
            <a:tailEnd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37" name="Text Box 73"/>
          <xdr:cNvSpPr txBox="1">
            <a:spLocks noChangeArrowheads="1"/>
          </xdr:cNvSpPr>
        </xdr:nvSpPr>
        <xdr:spPr bwMode="auto">
          <a:xfrm>
            <a:off x="3915" y="2021"/>
            <a:ext cx="590" cy="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4.000</a:t>
            </a:r>
          </a:p>
        </xdr:txBody>
      </xdr:sp>
      <xdr:sp macro="" textlink="">
        <xdr:nvSpPr>
          <xdr:cNvPr id="38" name="Text Box 74"/>
          <xdr:cNvSpPr txBox="1">
            <a:spLocks noChangeArrowheads="1"/>
          </xdr:cNvSpPr>
        </xdr:nvSpPr>
        <xdr:spPr bwMode="auto">
          <a:xfrm>
            <a:off x="3280" y="2270"/>
            <a:ext cx="636" cy="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6.000</a:t>
            </a:r>
          </a:p>
        </xdr:txBody>
      </xdr:sp>
      <xdr:sp macro="" textlink="">
        <xdr:nvSpPr>
          <xdr:cNvPr id="39" name="Text Box 75"/>
          <xdr:cNvSpPr txBox="1">
            <a:spLocks noChangeArrowheads="1"/>
          </xdr:cNvSpPr>
        </xdr:nvSpPr>
        <xdr:spPr bwMode="auto">
          <a:xfrm>
            <a:off x="3268" y="1310"/>
            <a:ext cx="317" cy="233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24</a:t>
            </a:r>
          </a:p>
        </xdr:txBody>
      </xdr:sp>
    </xdr:grpSp>
    <xdr:clientData/>
  </xdr:twoCellAnchor>
  <xdr:twoCellAnchor>
    <xdr:from>
      <xdr:col>0</xdr:col>
      <xdr:colOff>219075</xdr:colOff>
      <xdr:row>64</xdr:row>
      <xdr:rowOff>117475</xdr:rowOff>
    </xdr:from>
    <xdr:to>
      <xdr:col>10</xdr:col>
      <xdr:colOff>228600</xdr:colOff>
      <xdr:row>75</xdr:row>
      <xdr:rowOff>55564</xdr:rowOff>
    </xdr:to>
    <xdr:grpSp>
      <xdr:nvGrpSpPr>
        <xdr:cNvPr id="49" name="Group 42"/>
        <xdr:cNvGrpSpPr>
          <a:grpSpLocks/>
        </xdr:cNvGrpSpPr>
      </xdr:nvGrpSpPr>
      <xdr:grpSpPr bwMode="auto">
        <a:xfrm>
          <a:off x="219075" y="15357475"/>
          <a:ext cx="8334375" cy="2557464"/>
          <a:chOff x="1338" y="1026"/>
          <a:chExt cx="3538" cy="1609"/>
        </a:xfrm>
      </xdr:grpSpPr>
      <xdr:sp macro="" textlink="">
        <xdr:nvSpPr>
          <xdr:cNvPr id="50" name="Line 5"/>
          <xdr:cNvSpPr>
            <a:spLocks noChangeShapeType="1"/>
          </xdr:cNvSpPr>
        </xdr:nvSpPr>
        <xdr:spPr bwMode="auto">
          <a:xfrm flipV="1">
            <a:off x="1899" y="1696"/>
            <a:ext cx="1" cy="453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51" name="Text Box 6"/>
          <xdr:cNvSpPr txBox="1">
            <a:spLocks noChangeArrowheads="1"/>
          </xdr:cNvSpPr>
        </xdr:nvSpPr>
        <xdr:spPr bwMode="auto">
          <a:xfrm>
            <a:off x="1666" y="1466"/>
            <a:ext cx="317" cy="233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1</a:t>
            </a:r>
          </a:p>
        </xdr:txBody>
      </xdr:sp>
      <xdr:sp macro="" textlink="">
        <xdr:nvSpPr>
          <xdr:cNvPr id="52" name="Text Box 7"/>
          <xdr:cNvSpPr txBox="1">
            <a:spLocks noChangeArrowheads="1"/>
          </xdr:cNvSpPr>
        </xdr:nvSpPr>
        <xdr:spPr bwMode="auto">
          <a:xfrm>
            <a:off x="2028" y="1466"/>
            <a:ext cx="317" cy="233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2</a:t>
            </a:r>
          </a:p>
        </xdr:txBody>
      </xdr:sp>
      <xdr:grpSp>
        <xdr:nvGrpSpPr>
          <xdr:cNvPr id="53" name="Group 8"/>
          <xdr:cNvGrpSpPr>
            <a:grpSpLocks/>
          </xdr:cNvGrpSpPr>
        </xdr:nvGrpSpPr>
        <xdr:grpSpPr bwMode="auto">
          <a:xfrm>
            <a:off x="2303" y="1505"/>
            <a:ext cx="309" cy="363"/>
            <a:chOff x="3478" y="2387"/>
            <a:chExt cx="309" cy="363"/>
          </a:xfrm>
        </xdr:grpSpPr>
        <xdr:sp macro="" textlink="">
          <xdr:nvSpPr>
            <xdr:cNvPr id="82" name="Line 9"/>
            <xdr:cNvSpPr>
              <a:spLocks noChangeShapeType="1"/>
            </xdr:cNvSpPr>
          </xdr:nvSpPr>
          <xdr:spPr bwMode="auto">
            <a:xfrm flipV="1">
              <a:off x="3478" y="2387"/>
              <a:ext cx="45" cy="181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83" name="Line 10"/>
            <xdr:cNvSpPr>
              <a:spLocks noChangeShapeType="1"/>
            </xdr:cNvSpPr>
          </xdr:nvSpPr>
          <xdr:spPr bwMode="auto">
            <a:xfrm>
              <a:off x="3515" y="2387"/>
              <a:ext cx="227" cy="363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84" name="Line 11"/>
            <xdr:cNvSpPr>
              <a:spLocks noChangeShapeType="1"/>
            </xdr:cNvSpPr>
          </xdr:nvSpPr>
          <xdr:spPr bwMode="auto">
            <a:xfrm flipV="1">
              <a:off x="3742" y="2568"/>
              <a:ext cx="45" cy="182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</xdr:grpSp>
      <xdr:sp macro="" textlink="">
        <xdr:nvSpPr>
          <xdr:cNvPr id="54" name="Line 12"/>
          <xdr:cNvSpPr>
            <a:spLocks noChangeShapeType="1"/>
          </xdr:cNvSpPr>
        </xdr:nvSpPr>
        <xdr:spPr bwMode="auto">
          <a:xfrm>
            <a:off x="1474" y="1696"/>
            <a:ext cx="817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55" name="Line 13"/>
          <xdr:cNvSpPr>
            <a:spLocks noChangeShapeType="1"/>
          </xdr:cNvSpPr>
        </xdr:nvSpPr>
        <xdr:spPr bwMode="auto">
          <a:xfrm flipV="1">
            <a:off x="2604" y="1687"/>
            <a:ext cx="635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56" name="Text Box 14"/>
          <xdr:cNvSpPr txBox="1">
            <a:spLocks noChangeArrowheads="1"/>
          </xdr:cNvSpPr>
        </xdr:nvSpPr>
        <xdr:spPr bwMode="auto">
          <a:xfrm>
            <a:off x="2756" y="1456"/>
            <a:ext cx="317" cy="233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18</a:t>
            </a:r>
          </a:p>
        </xdr:txBody>
      </xdr:sp>
      <xdr:sp macro="" textlink="">
        <xdr:nvSpPr>
          <xdr:cNvPr id="57" name="Line 15"/>
          <xdr:cNvSpPr>
            <a:spLocks noChangeShapeType="1"/>
          </xdr:cNvSpPr>
        </xdr:nvSpPr>
        <xdr:spPr bwMode="auto">
          <a:xfrm flipV="1">
            <a:off x="2261" y="1696"/>
            <a:ext cx="2" cy="444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58" name="Line 16"/>
          <xdr:cNvSpPr>
            <a:spLocks noChangeShapeType="1"/>
          </xdr:cNvSpPr>
        </xdr:nvSpPr>
        <xdr:spPr bwMode="auto">
          <a:xfrm flipV="1">
            <a:off x="1473" y="1686"/>
            <a:ext cx="0" cy="772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59" name="Text Box 17"/>
          <xdr:cNvSpPr txBox="1">
            <a:spLocks noChangeArrowheads="1"/>
          </xdr:cNvSpPr>
        </xdr:nvSpPr>
        <xdr:spPr bwMode="auto">
          <a:xfrm>
            <a:off x="1383" y="1465"/>
            <a:ext cx="317" cy="233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0</a:t>
            </a:r>
          </a:p>
        </xdr:txBody>
      </xdr:sp>
      <xdr:sp macro="" textlink="">
        <xdr:nvSpPr>
          <xdr:cNvPr id="60" name="Line 18"/>
          <xdr:cNvSpPr>
            <a:spLocks noChangeShapeType="1"/>
          </xdr:cNvSpPr>
        </xdr:nvSpPr>
        <xdr:spPr bwMode="auto">
          <a:xfrm flipH="1" flipV="1">
            <a:off x="3012" y="1706"/>
            <a:ext cx="1" cy="444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61" name="Text Box 20"/>
          <xdr:cNvSpPr txBox="1">
            <a:spLocks noChangeArrowheads="1"/>
          </xdr:cNvSpPr>
        </xdr:nvSpPr>
        <xdr:spPr bwMode="auto">
          <a:xfrm>
            <a:off x="1746" y="1174"/>
            <a:ext cx="1135" cy="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Máquina Y</a:t>
            </a:r>
          </a:p>
        </xdr:txBody>
      </xdr:sp>
      <xdr:sp macro="" textlink="">
        <xdr:nvSpPr>
          <xdr:cNvPr id="62" name="Text Box 21"/>
          <xdr:cNvSpPr txBox="1">
            <a:spLocks noChangeArrowheads="1"/>
          </xdr:cNvSpPr>
        </xdr:nvSpPr>
        <xdr:spPr bwMode="auto">
          <a:xfrm>
            <a:off x="2267" y="1923"/>
            <a:ext cx="725" cy="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2.400</a:t>
            </a:r>
          </a:p>
        </xdr:txBody>
      </xdr:sp>
      <xdr:sp macro="" textlink="">
        <xdr:nvSpPr>
          <xdr:cNvPr id="63" name="Text Box 22"/>
          <xdr:cNvSpPr txBox="1">
            <a:spLocks noChangeArrowheads="1"/>
          </xdr:cNvSpPr>
        </xdr:nvSpPr>
        <xdr:spPr bwMode="auto">
          <a:xfrm>
            <a:off x="1338" y="2422"/>
            <a:ext cx="726" cy="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14.000</a:t>
            </a:r>
          </a:p>
        </xdr:txBody>
      </xdr:sp>
      <xdr:sp macro="" textlink="">
        <xdr:nvSpPr>
          <xdr:cNvPr id="64" name="Line 23"/>
          <xdr:cNvSpPr>
            <a:spLocks noChangeShapeType="1"/>
          </xdr:cNvSpPr>
        </xdr:nvSpPr>
        <xdr:spPr bwMode="auto">
          <a:xfrm flipH="1" flipV="1">
            <a:off x="3016" y="1240"/>
            <a:ext cx="1" cy="444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65" name="Text Box 24"/>
          <xdr:cNvSpPr txBox="1">
            <a:spLocks noChangeArrowheads="1"/>
          </xdr:cNvSpPr>
        </xdr:nvSpPr>
        <xdr:spPr bwMode="auto">
          <a:xfrm>
            <a:off x="2744" y="1038"/>
            <a:ext cx="590" cy="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2.800</a:t>
            </a:r>
          </a:p>
        </xdr:txBody>
      </xdr:sp>
      <xdr:sp macro="" textlink="">
        <xdr:nvSpPr>
          <xdr:cNvPr id="66" name="Line 26"/>
          <xdr:cNvSpPr>
            <a:spLocks noChangeShapeType="1"/>
          </xdr:cNvSpPr>
        </xdr:nvSpPr>
        <xdr:spPr bwMode="auto">
          <a:xfrm flipV="1">
            <a:off x="3441" y="1684"/>
            <a:ext cx="1" cy="453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grpSp>
        <xdr:nvGrpSpPr>
          <xdr:cNvPr id="67" name="Group 27"/>
          <xdr:cNvGrpSpPr>
            <a:grpSpLocks/>
          </xdr:cNvGrpSpPr>
        </xdr:nvGrpSpPr>
        <xdr:grpSpPr bwMode="auto">
          <a:xfrm>
            <a:off x="3845" y="1493"/>
            <a:ext cx="309" cy="363"/>
            <a:chOff x="3478" y="2387"/>
            <a:chExt cx="309" cy="363"/>
          </a:xfrm>
        </xdr:grpSpPr>
        <xdr:sp macro="" textlink="">
          <xdr:nvSpPr>
            <xdr:cNvPr id="79" name="Line 28"/>
            <xdr:cNvSpPr>
              <a:spLocks noChangeShapeType="1"/>
            </xdr:cNvSpPr>
          </xdr:nvSpPr>
          <xdr:spPr bwMode="auto">
            <a:xfrm flipV="1">
              <a:off x="3478" y="2387"/>
              <a:ext cx="45" cy="181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80" name="Line 29"/>
            <xdr:cNvSpPr>
              <a:spLocks noChangeShapeType="1"/>
            </xdr:cNvSpPr>
          </xdr:nvSpPr>
          <xdr:spPr bwMode="auto">
            <a:xfrm>
              <a:off x="3515" y="2387"/>
              <a:ext cx="227" cy="363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81" name="Line 30"/>
            <xdr:cNvSpPr>
              <a:spLocks noChangeShapeType="1"/>
            </xdr:cNvSpPr>
          </xdr:nvSpPr>
          <xdr:spPr bwMode="auto">
            <a:xfrm flipV="1">
              <a:off x="3742" y="2568"/>
              <a:ext cx="45" cy="182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</xdr:grpSp>
      <xdr:sp macro="" textlink="">
        <xdr:nvSpPr>
          <xdr:cNvPr id="68" name="Line 31"/>
          <xdr:cNvSpPr>
            <a:spLocks noChangeShapeType="1"/>
          </xdr:cNvSpPr>
        </xdr:nvSpPr>
        <xdr:spPr bwMode="auto">
          <a:xfrm>
            <a:off x="3016" y="1684"/>
            <a:ext cx="817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69" name="Line 32"/>
          <xdr:cNvSpPr>
            <a:spLocks noChangeShapeType="1"/>
          </xdr:cNvSpPr>
        </xdr:nvSpPr>
        <xdr:spPr bwMode="auto">
          <a:xfrm flipV="1">
            <a:off x="4146" y="1675"/>
            <a:ext cx="635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70" name="Text Box 33"/>
          <xdr:cNvSpPr txBox="1">
            <a:spLocks noChangeArrowheads="1"/>
          </xdr:cNvSpPr>
        </xdr:nvSpPr>
        <xdr:spPr bwMode="auto">
          <a:xfrm>
            <a:off x="4298" y="1444"/>
            <a:ext cx="317" cy="233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36</a:t>
            </a:r>
          </a:p>
        </xdr:txBody>
      </xdr:sp>
      <xdr:sp macro="" textlink="">
        <xdr:nvSpPr>
          <xdr:cNvPr id="71" name="Line 34"/>
          <xdr:cNvSpPr>
            <a:spLocks noChangeShapeType="1"/>
          </xdr:cNvSpPr>
        </xdr:nvSpPr>
        <xdr:spPr bwMode="auto">
          <a:xfrm flipV="1">
            <a:off x="3803" y="1684"/>
            <a:ext cx="2" cy="444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72" name="Line 35"/>
          <xdr:cNvSpPr>
            <a:spLocks noChangeShapeType="1"/>
          </xdr:cNvSpPr>
        </xdr:nvSpPr>
        <xdr:spPr bwMode="auto">
          <a:xfrm flipV="1">
            <a:off x="3015" y="1674"/>
            <a:ext cx="0" cy="772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73" name="Line 36"/>
          <xdr:cNvSpPr>
            <a:spLocks noChangeShapeType="1"/>
          </xdr:cNvSpPr>
        </xdr:nvSpPr>
        <xdr:spPr bwMode="auto">
          <a:xfrm flipH="1" flipV="1">
            <a:off x="4554" y="1694"/>
            <a:ext cx="1" cy="444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74" name="Line 37"/>
          <xdr:cNvSpPr>
            <a:spLocks noChangeShapeType="1"/>
          </xdr:cNvSpPr>
        </xdr:nvSpPr>
        <xdr:spPr bwMode="auto">
          <a:xfrm flipV="1">
            <a:off x="1882" y="2172"/>
            <a:ext cx="2676" cy="1"/>
          </a:xfrm>
          <a:prstGeom prst="line">
            <a:avLst/>
          </a:prstGeom>
          <a:noFill/>
          <a:ln w="25400">
            <a:solidFill>
              <a:schemeClr val="tx1"/>
            </a:solidFill>
            <a:prstDash val="dash"/>
            <a:round/>
            <a:headEnd/>
            <a:tailEnd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75" name="Text Box 38"/>
          <xdr:cNvSpPr txBox="1">
            <a:spLocks noChangeArrowheads="1"/>
          </xdr:cNvSpPr>
        </xdr:nvSpPr>
        <xdr:spPr bwMode="auto">
          <a:xfrm>
            <a:off x="3809" y="1911"/>
            <a:ext cx="725" cy="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2.400</a:t>
            </a:r>
          </a:p>
        </xdr:txBody>
      </xdr:sp>
      <xdr:sp macro="" textlink="">
        <xdr:nvSpPr>
          <xdr:cNvPr id="76" name="Text Box 39"/>
          <xdr:cNvSpPr txBox="1">
            <a:spLocks noChangeArrowheads="1"/>
          </xdr:cNvSpPr>
        </xdr:nvSpPr>
        <xdr:spPr bwMode="auto">
          <a:xfrm>
            <a:off x="2880" y="2410"/>
            <a:ext cx="726" cy="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14.000</a:t>
            </a:r>
          </a:p>
        </xdr:txBody>
      </xdr:sp>
      <xdr:sp macro="" textlink="">
        <xdr:nvSpPr>
          <xdr:cNvPr id="77" name="Line 40"/>
          <xdr:cNvSpPr>
            <a:spLocks noChangeShapeType="1"/>
          </xdr:cNvSpPr>
        </xdr:nvSpPr>
        <xdr:spPr bwMode="auto">
          <a:xfrm flipH="1" flipV="1">
            <a:off x="4558" y="1228"/>
            <a:ext cx="1" cy="444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78" name="Text Box 41"/>
          <xdr:cNvSpPr txBox="1">
            <a:spLocks noChangeArrowheads="1"/>
          </xdr:cNvSpPr>
        </xdr:nvSpPr>
        <xdr:spPr bwMode="auto">
          <a:xfrm>
            <a:off x="4286" y="1026"/>
            <a:ext cx="590" cy="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2.800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86783</xdr:colOff>
      <xdr:row>4</xdr:row>
      <xdr:rowOff>49211</xdr:rowOff>
    </xdr:from>
    <xdr:to>
      <xdr:col>1</xdr:col>
      <xdr:colOff>97896</xdr:colOff>
      <xdr:row>8</xdr:row>
      <xdr:rowOff>33865</xdr:rowOff>
    </xdr:to>
    <xdr:sp macro="" textlink="">
      <xdr:nvSpPr>
        <xdr:cNvPr id="2" name="Line 5"/>
        <xdr:cNvSpPr>
          <a:spLocks noChangeShapeType="1"/>
        </xdr:cNvSpPr>
      </xdr:nvSpPr>
      <xdr:spPr bwMode="auto">
        <a:xfrm flipV="1">
          <a:off x="727075" y="980544"/>
          <a:ext cx="11113" cy="915988"/>
        </a:xfrm>
        <a:prstGeom prst="line">
          <a:avLst/>
        </a:prstGeom>
        <a:noFill/>
        <a:ln w="50800">
          <a:solidFill>
            <a:srgbClr val="0000FF"/>
          </a:solidFill>
          <a:round/>
          <a:headEnd/>
          <a:tailEnd type="stealth" w="med" len="lg"/>
        </a:ln>
        <a:effectLst/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>
            <a:defRPr/>
          </a:pPr>
          <a:endParaRPr lang="pt-BR" sz="1800">
            <a:latin typeface="+mn-lt"/>
          </a:endParaRPr>
        </a:p>
      </xdr:txBody>
    </xdr:sp>
    <xdr:clientData/>
  </xdr:twoCellAnchor>
  <xdr:twoCellAnchor>
    <xdr:from>
      <xdr:col>2</xdr:col>
      <xdr:colOff>61913</xdr:colOff>
      <xdr:row>6</xdr:row>
      <xdr:rowOff>52387</xdr:rowOff>
    </xdr:from>
    <xdr:to>
      <xdr:col>2</xdr:col>
      <xdr:colOff>565150</xdr:colOff>
      <xdr:row>8</xdr:row>
      <xdr:rowOff>41275</xdr:rowOff>
    </xdr:to>
    <xdr:sp macro="" textlink="">
      <xdr:nvSpPr>
        <xdr:cNvPr id="3" name="Text Box 6"/>
        <xdr:cNvSpPr txBox="1">
          <a:spLocks noChangeArrowheads="1"/>
        </xdr:cNvSpPr>
      </xdr:nvSpPr>
      <xdr:spPr bwMode="auto">
        <a:xfrm>
          <a:off x="1281113" y="2338387"/>
          <a:ext cx="503237" cy="369888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1800" b="1">
              <a:effectLst>
                <a:outerShdw blurRad="38100" dist="38100" dir="2700000" algn="tl">
                  <a:srgbClr val="C0C0C0"/>
                </a:outerShdw>
              </a:effectLst>
              <a:latin typeface="+mn-lt"/>
            </a:rPr>
            <a:t>1</a:t>
          </a:r>
        </a:p>
      </xdr:txBody>
    </xdr:sp>
    <xdr:clientData/>
  </xdr:twoCellAnchor>
  <xdr:twoCellAnchor>
    <xdr:from>
      <xdr:col>3</xdr:col>
      <xdr:colOff>315913</xdr:colOff>
      <xdr:row>6</xdr:row>
      <xdr:rowOff>71437</xdr:rowOff>
    </xdr:from>
    <xdr:to>
      <xdr:col>4</xdr:col>
      <xdr:colOff>209550</xdr:colOff>
      <xdr:row>8</xdr:row>
      <xdr:rowOff>60325</xdr:rowOff>
    </xdr:to>
    <xdr:sp macro="" textlink="">
      <xdr:nvSpPr>
        <xdr:cNvPr id="4" name="Text Box 7"/>
        <xdr:cNvSpPr txBox="1">
          <a:spLocks noChangeArrowheads="1"/>
        </xdr:cNvSpPr>
      </xdr:nvSpPr>
      <xdr:spPr bwMode="auto">
        <a:xfrm>
          <a:off x="2144713" y="2357437"/>
          <a:ext cx="503237" cy="369888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1800" b="1">
              <a:effectLst>
                <a:outerShdw blurRad="38100" dist="38100" dir="2700000" algn="tl">
                  <a:srgbClr val="C0C0C0"/>
                </a:outerShdw>
              </a:effectLst>
              <a:latin typeface="+mn-lt"/>
            </a:rPr>
            <a:t>2</a:t>
          </a:r>
        </a:p>
      </xdr:txBody>
    </xdr:sp>
    <xdr:clientData/>
  </xdr:twoCellAnchor>
  <xdr:twoCellAnchor>
    <xdr:from>
      <xdr:col>1</xdr:col>
      <xdr:colOff>3175</xdr:colOff>
      <xdr:row>6</xdr:row>
      <xdr:rowOff>60325</xdr:rowOff>
    </xdr:from>
    <xdr:to>
      <xdr:col>1</xdr:col>
      <xdr:colOff>506413</xdr:colOff>
      <xdr:row>8</xdr:row>
      <xdr:rowOff>49212</xdr:rowOff>
    </xdr:to>
    <xdr:sp macro="" textlink="">
      <xdr:nvSpPr>
        <xdr:cNvPr id="5" name="Text Box 8"/>
        <xdr:cNvSpPr txBox="1">
          <a:spLocks noChangeArrowheads="1"/>
        </xdr:cNvSpPr>
      </xdr:nvSpPr>
      <xdr:spPr bwMode="auto">
        <a:xfrm>
          <a:off x="612775" y="2346325"/>
          <a:ext cx="503238" cy="36988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1800" b="1">
              <a:effectLst>
                <a:outerShdw blurRad="38100" dist="38100" dir="2700000" algn="tl">
                  <a:srgbClr val="C0C0C0"/>
                </a:outerShdw>
              </a:effectLst>
              <a:latin typeface="+mn-lt"/>
            </a:rPr>
            <a:t>0</a:t>
          </a:r>
        </a:p>
      </xdr:txBody>
    </xdr:sp>
    <xdr:clientData/>
  </xdr:twoCellAnchor>
  <xdr:twoCellAnchor>
    <xdr:from>
      <xdr:col>1</xdr:col>
      <xdr:colOff>60325</xdr:colOff>
      <xdr:row>8</xdr:row>
      <xdr:rowOff>0</xdr:rowOff>
    </xdr:from>
    <xdr:to>
      <xdr:col>3</xdr:col>
      <xdr:colOff>438150</xdr:colOff>
      <xdr:row>8</xdr:row>
      <xdr:rowOff>12700</xdr:rowOff>
    </xdr:to>
    <xdr:sp macro="" textlink="">
      <xdr:nvSpPr>
        <xdr:cNvPr id="6" name="Line 13"/>
        <xdr:cNvSpPr>
          <a:spLocks noChangeShapeType="1"/>
        </xdr:cNvSpPr>
      </xdr:nvSpPr>
      <xdr:spPr bwMode="auto">
        <a:xfrm flipV="1">
          <a:off x="669925" y="3333750"/>
          <a:ext cx="1597025" cy="12700"/>
        </a:xfrm>
        <a:prstGeom prst="line">
          <a:avLst/>
        </a:prstGeom>
        <a:noFill/>
        <a:ln w="50800">
          <a:solidFill>
            <a:schemeClr val="tx1"/>
          </a:solidFill>
          <a:round/>
          <a:headEnd/>
          <a:tailEnd type="none" w="med" len="lg"/>
        </a:ln>
        <a:effectLst/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>
            <a:defRPr/>
          </a:pPr>
          <a:endParaRPr lang="pt-BR" sz="1800">
            <a:latin typeface="+mn-lt"/>
          </a:endParaRPr>
        </a:p>
      </xdr:txBody>
    </xdr:sp>
    <xdr:clientData/>
  </xdr:twoCellAnchor>
  <xdr:twoCellAnchor>
    <xdr:from>
      <xdr:col>3</xdr:col>
      <xdr:colOff>426508</xdr:colOff>
      <xdr:row>1</xdr:row>
      <xdr:rowOff>204260</xdr:rowOff>
    </xdr:from>
    <xdr:to>
      <xdr:col>3</xdr:col>
      <xdr:colOff>426508</xdr:colOff>
      <xdr:row>7</xdr:row>
      <xdr:rowOff>213785</xdr:rowOff>
    </xdr:to>
    <xdr:sp macro="" textlink="">
      <xdr:nvSpPr>
        <xdr:cNvPr id="7" name="Line 16"/>
        <xdr:cNvSpPr>
          <a:spLocks noChangeShapeType="1"/>
        </xdr:cNvSpPr>
      </xdr:nvSpPr>
      <xdr:spPr bwMode="auto">
        <a:xfrm flipH="1" flipV="1">
          <a:off x="2347383" y="437093"/>
          <a:ext cx="0" cy="1406525"/>
        </a:xfrm>
        <a:prstGeom prst="line">
          <a:avLst/>
        </a:prstGeom>
        <a:noFill/>
        <a:ln w="50800">
          <a:solidFill>
            <a:srgbClr val="0000FF"/>
          </a:solidFill>
          <a:round/>
          <a:headEnd/>
          <a:tailEnd type="stealth" w="med" len="lg"/>
        </a:ln>
        <a:effectLst/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>
            <a:defRPr/>
          </a:pPr>
          <a:endParaRPr lang="pt-BR" sz="1800">
            <a:latin typeface="+mn-lt"/>
          </a:endParaRPr>
        </a:p>
      </xdr:txBody>
    </xdr:sp>
    <xdr:clientData/>
  </xdr:twoCellAnchor>
  <xdr:twoCellAnchor>
    <xdr:from>
      <xdr:col>2</xdr:col>
      <xdr:colOff>291043</xdr:colOff>
      <xdr:row>8</xdr:row>
      <xdr:rowOff>8465</xdr:rowOff>
    </xdr:from>
    <xdr:to>
      <xdr:col>2</xdr:col>
      <xdr:colOff>295806</xdr:colOff>
      <xdr:row>14</xdr:row>
      <xdr:rowOff>87840</xdr:rowOff>
    </xdr:to>
    <xdr:sp macro="" textlink="">
      <xdr:nvSpPr>
        <xdr:cNvPr id="8" name="Line 19"/>
        <xdr:cNvSpPr>
          <a:spLocks noChangeShapeType="1"/>
        </xdr:cNvSpPr>
      </xdr:nvSpPr>
      <xdr:spPr bwMode="auto">
        <a:xfrm flipH="1" flipV="1">
          <a:off x="1571626" y="1871132"/>
          <a:ext cx="4763" cy="1476375"/>
        </a:xfrm>
        <a:prstGeom prst="line">
          <a:avLst/>
        </a:prstGeom>
        <a:noFill/>
        <a:ln w="50800">
          <a:solidFill>
            <a:srgbClr val="FF0000"/>
          </a:solidFill>
          <a:round/>
          <a:headEnd type="stealth" w="med" len="med"/>
          <a:tailEnd type="none" w="med" len="lg"/>
        </a:ln>
        <a:effectLst/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>
            <a:defRPr/>
          </a:pPr>
          <a:endParaRPr lang="pt-BR" sz="1800">
            <a:latin typeface="+mn-lt"/>
          </a:endParaRPr>
        </a:p>
      </xdr:txBody>
    </xdr:sp>
    <xdr:clientData/>
  </xdr:twoCellAnchor>
  <xdr:twoCellAnchor>
    <xdr:from>
      <xdr:col>0</xdr:col>
      <xdr:colOff>378883</xdr:colOff>
      <xdr:row>3</xdr:row>
      <xdr:rowOff>19050</xdr:rowOff>
    </xdr:from>
    <xdr:to>
      <xdr:col>2</xdr:col>
      <xdr:colOff>169333</xdr:colOff>
      <xdr:row>4</xdr:row>
      <xdr:rowOff>155066</xdr:rowOff>
    </xdr:to>
    <xdr:sp macro="" textlink="">
      <xdr:nvSpPr>
        <xdr:cNvPr id="9" name="Text Box 25"/>
        <xdr:cNvSpPr txBox="1">
          <a:spLocks noChangeArrowheads="1"/>
        </xdr:cNvSpPr>
      </xdr:nvSpPr>
      <xdr:spPr bwMode="auto">
        <a:xfrm>
          <a:off x="378883" y="717550"/>
          <a:ext cx="1071033" cy="36884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1800">
              <a:latin typeface="+mn-lt"/>
            </a:rPr>
            <a:t>1.600</a:t>
          </a:r>
        </a:p>
      </xdr:txBody>
    </xdr:sp>
    <xdr:clientData/>
  </xdr:twoCellAnchor>
  <xdr:twoCellAnchor>
    <xdr:from>
      <xdr:col>1</xdr:col>
      <xdr:colOff>358775</xdr:colOff>
      <xdr:row>14</xdr:row>
      <xdr:rowOff>69850</xdr:rowOff>
    </xdr:from>
    <xdr:to>
      <xdr:col>3</xdr:col>
      <xdr:colOff>149225</xdr:colOff>
      <xdr:row>16</xdr:row>
      <xdr:rowOff>58737</xdr:rowOff>
    </xdr:to>
    <xdr:sp macro="" textlink="">
      <xdr:nvSpPr>
        <xdr:cNvPr id="10" name="Text Box 26"/>
        <xdr:cNvSpPr txBox="1">
          <a:spLocks noChangeArrowheads="1"/>
        </xdr:cNvSpPr>
      </xdr:nvSpPr>
      <xdr:spPr bwMode="auto">
        <a:xfrm>
          <a:off x="968375" y="3403600"/>
          <a:ext cx="1009650" cy="465137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1800">
              <a:latin typeface="+mn-lt"/>
            </a:rPr>
            <a:t>10.000</a:t>
          </a:r>
        </a:p>
      </xdr:txBody>
    </xdr:sp>
    <xdr:clientData/>
  </xdr:twoCellAnchor>
  <xdr:twoCellAnchor>
    <xdr:from>
      <xdr:col>2</xdr:col>
      <xdr:colOff>546100</xdr:colOff>
      <xdr:row>0</xdr:row>
      <xdr:rowOff>95250</xdr:rowOff>
    </xdr:from>
    <xdr:to>
      <xdr:col>4</xdr:col>
      <xdr:colOff>336550</xdr:colOff>
      <xdr:row>2</xdr:row>
      <xdr:rowOff>7937</xdr:rowOff>
    </xdr:to>
    <xdr:sp macro="" textlink="">
      <xdr:nvSpPr>
        <xdr:cNvPr id="11" name="Text Box 27"/>
        <xdr:cNvSpPr txBox="1">
          <a:spLocks noChangeArrowheads="1"/>
        </xdr:cNvSpPr>
      </xdr:nvSpPr>
      <xdr:spPr bwMode="auto">
        <a:xfrm>
          <a:off x="1765300" y="95250"/>
          <a:ext cx="1009650" cy="388937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1800">
              <a:latin typeface="+mn-lt"/>
            </a:rPr>
            <a:t>10.000</a:t>
          </a:r>
        </a:p>
      </xdr:txBody>
    </xdr:sp>
    <xdr:clientData/>
  </xdr:twoCellAnchor>
  <xdr:twoCellAnchor>
    <xdr:from>
      <xdr:col>14</xdr:col>
      <xdr:colOff>363537</xdr:colOff>
      <xdr:row>6</xdr:row>
      <xdr:rowOff>71438</xdr:rowOff>
    </xdr:from>
    <xdr:to>
      <xdr:col>15</xdr:col>
      <xdr:colOff>257175</xdr:colOff>
      <xdr:row>7</xdr:row>
      <xdr:rowOff>203200</xdr:rowOff>
    </xdr:to>
    <xdr:sp macro="" textlink="">
      <xdr:nvSpPr>
        <xdr:cNvPr id="12" name="Text Box 6"/>
        <xdr:cNvSpPr txBox="1">
          <a:spLocks noChangeArrowheads="1"/>
        </xdr:cNvSpPr>
      </xdr:nvSpPr>
      <xdr:spPr bwMode="auto">
        <a:xfrm>
          <a:off x="10707687" y="1500188"/>
          <a:ext cx="503238" cy="36988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1800" b="1">
              <a:effectLst>
                <a:outerShdw blurRad="38100" dist="38100" dir="2700000" algn="tl">
                  <a:srgbClr val="C0C0C0"/>
                </a:outerShdw>
              </a:effectLst>
              <a:latin typeface="+mn-lt"/>
            </a:rPr>
            <a:t>1</a:t>
          </a:r>
        </a:p>
      </xdr:txBody>
    </xdr:sp>
    <xdr:clientData/>
  </xdr:twoCellAnchor>
  <xdr:twoCellAnchor>
    <xdr:from>
      <xdr:col>16</xdr:col>
      <xdr:colOff>7937</xdr:colOff>
      <xdr:row>6</xdr:row>
      <xdr:rowOff>90488</xdr:rowOff>
    </xdr:from>
    <xdr:to>
      <xdr:col>16</xdr:col>
      <xdr:colOff>511175</xdr:colOff>
      <xdr:row>7</xdr:row>
      <xdr:rowOff>222250</xdr:rowOff>
    </xdr:to>
    <xdr:sp macro="" textlink="">
      <xdr:nvSpPr>
        <xdr:cNvPr id="13" name="Text Box 7"/>
        <xdr:cNvSpPr txBox="1">
          <a:spLocks noChangeArrowheads="1"/>
        </xdr:cNvSpPr>
      </xdr:nvSpPr>
      <xdr:spPr bwMode="auto">
        <a:xfrm>
          <a:off x="11571287" y="1519238"/>
          <a:ext cx="503238" cy="36988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1800" b="1">
              <a:effectLst>
                <a:outerShdw blurRad="38100" dist="38100" dir="2700000" algn="tl">
                  <a:srgbClr val="C0C0C0"/>
                </a:outerShdw>
              </a:effectLst>
              <a:latin typeface="+mn-lt"/>
            </a:rPr>
            <a:t>2</a:t>
          </a:r>
        </a:p>
      </xdr:txBody>
    </xdr:sp>
    <xdr:clientData/>
  </xdr:twoCellAnchor>
  <xdr:twoCellAnchor>
    <xdr:from>
      <xdr:col>13</xdr:col>
      <xdr:colOff>304800</xdr:colOff>
      <xdr:row>6</xdr:row>
      <xdr:rowOff>79375</xdr:rowOff>
    </xdr:from>
    <xdr:to>
      <xdr:col>14</xdr:col>
      <xdr:colOff>198437</xdr:colOff>
      <xdr:row>7</xdr:row>
      <xdr:rowOff>211138</xdr:rowOff>
    </xdr:to>
    <xdr:sp macro="" textlink="">
      <xdr:nvSpPr>
        <xdr:cNvPr id="14" name="Text Box 8"/>
        <xdr:cNvSpPr txBox="1">
          <a:spLocks noChangeArrowheads="1"/>
        </xdr:cNvSpPr>
      </xdr:nvSpPr>
      <xdr:spPr bwMode="auto">
        <a:xfrm>
          <a:off x="10039350" y="1508125"/>
          <a:ext cx="503237" cy="369888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1800" b="1">
              <a:effectLst>
                <a:outerShdw blurRad="38100" dist="38100" dir="2700000" algn="tl">
                  <a:srgbClr val="C0C0C0"/>
                </a:outerShdw>
              </a:effectLst>
              <a:latin typeface="+mn-lt"/>
            </a:rPr>
            <a:t>0</a:t>
          </a:r>
        </a:p>
      </xdr:txBody>
    </xdr:sp>
    <xdr:clientData/>
  </xdr:twoCellAnchor>
  <xdr:twoCellAnchor>
    <xdr:from>
      <xdr:col>13</xdr:col>
      <xdr:colOff>361949</xdr:colOff>
      <xdr:row>7</xdr:row>
      <xdr:rowOff>152400</xdr:rowOff>
    </xdr:from>
    <xdr:to>
      <xdr:col>16</xdr:col>
      <xdr:colOff>142874</xdr:colOff>
      <xdr:row>7</xdr:row>
      <xdr:rowOff>174625</xdr:rowOff>
    </xdr:to>
    <xdr:sp macro="" textlink="">
      <xdr:nvSpPr>
        <xdr:cNvPr id="15" name="Line 9"/>
        <xdr:cNvSpPr>
          <a:spLocks noChangeShapeType="1"/>
        </xdr:cNvSpPr>
      </xdr:nvSpPr>
      <xdr:spPr bwMode="auto">
        <a:xfrm flipV="1">
          <a:off x="9486899" y="1819275"/>
          <a:ext cx="1609725" cy="22225"/>
        </a:xfrm>
        <a:prstGeom prst="line">
          <a:avLst/>
        </a:prstGeom>
        <a:noFill/>
        <a:ln w="50800">
          <a:solidFill>
            <a:schemeClr val="tx1"/>
          </a:solidFill>
          <a:round/>
          <a:headEnd/>
          <a:tailEnd type="none" w="med" len="lg"/>
        </a:ln>
        <a:effectLst/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>
            <a:defRPr/>
          </a:pPr>
          <a:endParaRPr lang="pt-BR" sz="1800">
            <a:latin typeface="+mn-lt"/>
          </a:endParaRPr>
        </a:p>
      </xdr:txBody>
    </xdr:sp>
    <xdr:clientData/>
  </xdr:twoCellAnchor>
  <xdr:twoCellAnchor>
    <xdr:from>
      <xdr:col>16</xdr:col>
      <xdr:colOff>123825</xdr:colOff>
      <xdr:row>2</xdr:row>
      <xdr:rowOff>212725</xdr:rowOff>
    </xdr:from>
    <xdr:to>
      <xdr:col>16</xdr:col>
      <xdr:colOff>136525</xdr:colOff>
      <xdr:row>7</xdr:row>
      <xdr:rowOff>152400</xdr:rowOff>
    </xdr:to>
    <xdr:sp macro="" textlink="">
      <xdr:nvSpPr>
        <xdr:cNvPr id="16" name="Line 10"/>
        <xdr:cNvSpPr>
          <a:spLocks noChangeShapeType="1"/>
        </xdr:cNvSpPr>
      </xdr:nvSpPr>
      <xdr:spPr bwMode="auto">
        <a:xfrm flipV="1">
          <a:off x="11077575" y="688975"/>
          <a:ext cx="12700" cy="1130300"/>
        </a:xfrm>
        <a:prstGeom prst="line">
          <a:avLst/>
        </a:prstGeom>
        <a:noFill/>
        <a:ln w="50800">
          <a:solidFill>
            <a:srgbClr val="0000FF"/>
          </a:solidFill>
          <a:round/>
          <a:headEnd/>
          <a:tailEnd type="stealth" w="med" len="lg"/>
        </a:ln>
        <a:effectLst/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>
            <a:defRPr/>
          </a:pPr>
          <a:endParaRPr lang="pt-BR" sz="1800">
            <a:latin typeface="+mn-lt"/>
          </a:endParaRPr>
        </a:p>
      </xdr:txBody>
    </xdr:sp>
    <xdr:clientData/>
  </xdr:twoCellAnchor>
  <xdr:twoCellAnchor>
    <xdr:from>
      <xdr:col>14</xdr:col>
      <xdr:colOff>506412</xdr:colOff>
      <xdr:row>7</xdr:row>
      <xdr:rowOff>158750</xdr:rowOff>
    </xdr:from>
    <xdr:to>
      <xdr:col>14</xdr:col>
      <xdr:colOff>506412</xdr:colOff>
      <xdr:row>12</xdr:row>
      <xdr:rowOff>193675</xdr:rowOff>
    </xdr:to>
    <xdr:sp macro="" textlink="">
      <xdr:nvSpPr>
        <xdr:cNvPr id="17" name="Line 11"/>
        <xdr:cNvSpPr>
          <a:spLocks noChangeShapeType="1"/>
        </xdr:cNvSpPr>
      </xdr:nvSpPr>
      <xdr:spPr bwMode="auto">
        <a:xfrm flipV="1">
          <a:off x="10850562" y="1825625"/>
          <a:ext cx="0" cy="1225550"/>
        </a:xfrm>
        <a:prstGeom prst="line">
          <a:avLst/>
        </a:prstGeom>
        <a:noFill/>
        <a:ln w="50800">
          <a:solidFill>
            <a:srgbClr val="FF0000"/>
          </a:solidFill>
          <a:round/>
          <a:headEnd type="stealth" w="med" len="med"/>
          <a:tailEnd type="none" w="med" len="lg"/>
        </a:ln>
        <a:effectLst/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>
            <a:defRPr/>
          </a:pPr>
          <a:endParaRPr lang="pt-BR" sz="1800">
            <a:latin typeface="+mn-lt"/>
          </a:endParaRPr>
        </a:p>
      </xdr:txBody>
    </xdr:sp>
    <xdr:clientData/>
  </xdr:twoCellAnchor>
  <xdr:twoCellAnchor>
    <xdr:from>
      <xdr:col>15</xdr:col>
      <xdr:colOff>238125</xdr:colOff>
      <xdr:row>1</xdr:row>
      <xdr:rowOff>38100</xdr:rowOff>
    </xdr:from>
    <xdr:to>
      <xdr:col>17</xdr:col>
      <xdr:colOff>28575</xdr:colOff>
      <xdr:row>2</xdr:row>
      <xdr:rowOff>169863</xdr:rowOff>
    </xdr:to>
    <xdr:sp macro="" textlink="">
      <xdr:nvSpPr>
        <xdr:cNvPr id="18" name="Text Box 15"/>
        <xdr:cNvSpPr txBox="1">
          <a:spLocks noChangeArrowheads="1"/>
        </xdr:cNvSpPr>
      </xdr:nvSpPr>
      <xdr:spPr bwMode="auto">
        <a:xfrm>
          <a:off x="11191875" y="276225"/>
          <a:ext cx="1009650" cy="36988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1800">
              <a:latin typeface="+mn-lt"/>
            </a:rPr>
            <a:t>10.000</a:t>
          </a:r>
        </a:p>
      </xdr:txBody>
    </xdr:sp>
    <xdr:clientData/>
  </xdr:twoCellAnchor>
  <xdr:twoCellAnchor>
    <xdr:from>
      <xdr:col>13</xdr:col>
      <xdr:colOff>600075</xdr:colOff>
      <xdr:row>12</xdr:row>
      <xdr:rowOff>219075</xdr:rowOff>
    </xdr:from>
    <xdr:to>
      <xdr:col>15</xdr:col>
      <xdr:colOff>390525</xdr:colOff>
      <xdr:row>14</xdr:row>
      <xdr:rowOff>127549</xdr:rowOff>
    </xdr:to>
    <xdr:sp macro="" textlink="">
      <xdr:nvSpPr>
        <xdr:cNvPr id="20" name="Text Box 26"/>
        <xdr:cNvSpPr txBox="1">
          <a:spLocks noChangeArrowheads="1"/>
        </xdr:cNvSpPr>
      </xdr:nvSpPr>
      <xdr:spPr bwMode="auto">
        <a:xfrm>
          <a:off x="10183283" y="3013075"/>
          <a:ext cx="1377950" cy="37414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1800">
              <a:solidFill>
                <a:srgbClr val="FF0000"/>
              </a:solidFill>
              <a:latin typeface="+mn-lt"/>
            </a:rPr>
            <a:t>-8080,00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141433</xdr:colOff>
      <xdr:row>0</xdr:row>
      <xdr:rowOff>43296</xdr:rowOff>
    </xdr:from>
    <xdr:to>
      <xdr:col>10</xdr:col>
      <xdr:colOff>458930</xdr:colOff>
      <xdr:row>16</xdr:row>
      <xdr:rowOff>213418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33" y="43296"/>
          <a:ext cx="6378861" cy="4101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337534</xdr:colOff>
      <xdr:row>0</xdr:row>
      <xdr:rowOff>0</xdr:rowOff>
    </xdr:from>
    <xdr:to>
      <xdr:col>24</xdr:col>
      <xdr:colOff>48350</xdr:colOff>
      <xdr:row>11</xdr:row>
      <xdr:rowOff>107873</xdr:rowOff>
    </xdr:to>
    <xdr:grpSp>
      <xdr:nvGrpSpPr>
        <xdr:cNvPr id="13" name="Grupo 12"/>
        <xdr:cNvGrpSpPr/>
      </xdr:nvGrpSpPr>
      <xdr:grpSpPr>
        <a:xfrm>
          <a:off x="12035966" y="0"/>
          <a:ext cx="4559907" cy="2774873"/>
          <a:chOff x="8800349" y="677548"/>
          <a:chExt cx="5294277" cy="2333285"/>
        </a:xfrm>
      </xdr:grpSpPr>
      <xdr:sp macro="" textlink="">
        <xdr:nvSpPr>
          <xdr:cNvPr id="3" name="Line 4"/>
          <xdr:cNvSpPr>
            <a:spLocks noChangeShapeType="1"/>
          </xdr:cNvSpPr>
        </xdr:nvSpPr>
        <xdr:spPr bwMode="auto">
          <a:xfrm>
            <a:off x="8800349" y="2014537"/>
            <a:ext cx="4876800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1600"/>
          </a:p>
        </xdr:txBody>
      </xdr:sp>
      <xdr:sp macro="" textlink="">
        <xdr:nvSpPr>
          <xdr:cNvPr id="4" name="Line 5"/>
          <xdr:cNvSpPr>
            <a:spLocks noChangeShapeType="1"/>
          </xdr:cNvSpPr>
        </xdr:nvSpPr>
        <xdr:spPr bwMode="auto">
          <a:xfrm flipH="1">
            <a:off x="8800349" y="2014537"/>
            <a:ext cx="0" cy="996296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/>
            <a:tailEnd type="stealth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1600"/>
          </a:p>
        </xdr:txBody>
      </xdr:sp>
      <xdr:sp macro="" textlink="">
        <xdr:nvSpPr>
          <xdr:cNvPr id="5" name="Rectangle 6"/>
          <xdr:cNvSpPr>
            <a:spLocks noChangeArrowheads="1"/>
          </xdr:cNvSpPr>
        </xdr:nvSpPr>
        <xdr:spPr bwMode="auto">
          <a:xfrm>
            <a:off x="8913812" y="2627187"/>
            <a:ext cx="2341563" cy="2795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92075" tIns="46038" rIns="92075" bIns="46038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altLang="pt-BR" sz="1600" b="1">
                <a:solidFill>
                  <a:srgbClr val="FF0000"/>
                </a:solidFill>
                <a:latin typeface="Bookman Old Style" panose="02050604050505020204" pitchFamily="18" charset="0"/>
              </a:rPr>
              <a:t>INV = 100.000,00</a:t>
            </a:r>
          </a:p>
        </xdr:txBody>
      </xdr:sp>
      <xdr:sp macro="" textlink="">
        <xdr:nvSpPr>
          <xdr:cNvPr id="6" name="Rectangle 7"/>
          <xdr:cNvSpPr>
            <a:spLocks noChangeArrowheads="1"/>
          </xdr:cNvSpPr>
        </xdr:nvSpPr>
        <xdr:spPr bwMode="auto">
          <a:xfrm>
            <a:off x="8800349" y="2006600"/>
            <a:ext cx="633412" cy="2795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92075" tIns="46038" rIns="92075" bIns="46038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altLang="pt-BR" sz="1600" b="1">
                <a:solidFill>
                  <a:schemeClr val="tx1"/>
                </a:solidFill>
                <a:latin typeface="Bookman Old Style" panose="02050604050505020204" pitchFamily="18" charset="0"/>
              </a:rPr>
              <a:t>0</a:t>
            </a:r>
          </a:p>
        </xdr:txBody>
      </xdr:sp>
      <xdr:sp macro="" textlink="">
        <xdr:nvSpPr>
          <xdr:cNvPr id="7" name="Rectangle 8"/>
          <xdr:cNvSpPr>
            <a:spLocks noChangeArrowheads="1"/>
          </xdr:cNvSpPr>
        </xdr:nvSpPr>
        <xdr:spPr bwMode="auto">
          <a:xfrm>
            <a:off x="11443368" y="1506947"/>
            <a:ext cx="2303463" cy="2872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92075" tIns="46038" rIns="92075" bIns="46038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/>
            <a:r>
              <a:rPr lang="pt-BR" altLang="pt-BR" sz="1600" b="1">
                <a:solidFill>
                  <a:schemeClr val="tx1"/>
                </a:solidFill>
                <a:latin typeface="Bookman Old Style" panose="02050604050505020204" pitchFamily="18" charset="0"/>
              </a:rPr>
              <a:t>TMA = 1% am </a:t>
            </a:r>
          </a:p>
        </xdr:txBody>
      </xdr:sp>
      <xdr:sp macro="" textlink="">
        <xdr:nvSpPr>
          <xdr:cNvPr id="8" name="Rectangle 9"/>
          <xdr:cNvSpPr>
            <a:spLocks noChangeArrowheads="1"/>
          </xdr:cNvSpPr>
        </xdr:nvSpPr>
        <xdr:spPr bwMode="auto">
          <a:xfrm>
            <a:off x="9714749" y="2006600"/>
            <a:ext cx="633412" cy="2795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92075" tIns="46038" rIns="92075" bIns="46038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altLang="pt-BR" sz="1600" b="1">
                <a:solidFill>
                  <a:schemeClr val="tx1"/>
                </a:solidFill>
                <a:latin typeface="Bookman Old Style" panose="02050604050505020204" pitchFamily="18" charset="0"/>
              </a:rPr>
              <a:t>1</a:t>
            </a:r>
          </a:p>
        </xdr:txBody>
      </xdr:sp>
      <xdr:sp macro="" textlink="">
        <xdr:nvSpPr>
          <xdr:cNvPr id="9" name="Rectangle 10"/>
          <xdr:cNvSpPr>
            <a:spLocks noChangeArrowheads="1"/>
          </xdr:cNvSpPr>
        </xdr:nvSpPr>
        <xdr:spPr bwMode="auto">
          <a:xfrm>
            <a:off x="13461214" y="1976725"/>
            <a:ext cx="633412" cy="3168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92075" tIns="46038" rIns="92075" bIns="46038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altLang="pt-BR" sz="1800" b="1">
                <a:solidFill>
                  <a:schemeClr val="tx1"/>
                </a:solidFill>
                <a:latin typeface="Bookman Old Style" panose="02050604050505020204" pitchFamily="18" charset="0"/>
                <a:sym typeface="Symbol" panose="05050102010706020507" pitchFamily="18" charset="2"/>
              </a:rPr>
              <a:t></a:t>
            </a:r>
            <a:endParaRPr lang="pt-BR" altLang="pt-BR" sz="1800" b="1">
              <a:solidFill>
                <a:schemeClr val="tx1"/>
              </a:solidFill>
              <a:latin typeface="Bookman Old Style" panose="02050604050505020204" pitchFamily="18" charset="0"/>
            </a:endParaRPr>
          </a:p>
        </xdr:txBody>
      </xdr:sp>
      <xdr:sp macro="" textlink="">
        <xdr:nvSpPr>
          <xdr:cNvPr id="10" name="Line 11"/>
          <xdr:cNvSpPr>
            <a:spLocks noChangeShapeType="1"/>
          </xdr:cNvSpPr>
        </xdr:nvSpPr>
        <xdr:spPr bwMode="auto">
          <a:xfrm flipV="1">
            <a:off x="9790949" y="1023937"/>
            <a:ext cx="0" cy="990600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/>
            <a:tailEnd type="stealth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1600"/>
          </a:p>
        </xdr:txBody>
      </xdr:sp>
      <xdr:sp macro="" textlink="">
        <xdr:nvSpPr>
          <xdr:cNvPr id="11" name="Rectangle 12"/>
          <xdr:cNvSpPr>
            <a:spLocks noChangeArrowheads="1"/>
          </xdr:cNvSpPr>
        </xdr:nvSpPr>
        <xdr:spPr bwMode="auto">
          <a:xfrm>
            <a:off x="11090230" y="677548"/>
            <a:ext cx="2006864" cy="2872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92075" tIns="46038" rIns="92075" bIns="46038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r>
              <a:rPr lang="pt-BR" altLang="pt-BR" sz="1600" b="1">
                <a:solidFill>
                  <a:srgbClr val="3333CC"/>
                </a:solidFill>
                <a:latin typeface="Bookman Old Style" panose="02050604050505020204" pitchFamily="18" charset="0"/>
              </a:rPr>
              <a:t>650,00 $/mês</a:t>
            </a:r>
          </a:p>
        </xdr:txBody>
      </xdr:sp>
      <xdr:sp macro="" textlink="">
        <xdr:nvSpPr>
          <xdr:cNvPr id="12" name="Line 14"/>
          <xdr:cNvSpPr>
            <a:spLocks noChangeShapeType="1"/>
          </xdr:cNvSpPr>
        </xdr:nvSpPr>
        <xdr:spPr bwMode="auto">
          <a:xfrm>
            <a:off x="9790949" y="1100137"/>
            <a:ext cx="3886200" cy="0"/>
          </a:xfrm>
          <a:prstGeom prst="line">
            <a:avLst/>
          </a:prstGeom>
          <a:noFill/>
          <a:ln w="38100">
            <a:solidFill>
              <a:srgbClr val="3333CC"/>
            </a:solidFill>
            <a:prstDash val="sysDot"/>
            <a:round/>
            <a:headEnd type="none" w="sm" len="sm"/>
            <a:tailEnd type="non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1600"/>
          </a:p>
        </xdr:txBody>
      </xdr:sp>
    </xdr:grpSp>
    <xdr:clientData/>
  </xdr:twoCellAnchor>
  <xdr:twoCellAnchor>
    <xdr:from>
      <xdr:col>11</xdr:col>
      <xdr:colOff>168937</xdr:colOff>
      <xdr:row>14</xdr:row>
      <xdr:rowOff>177856</xdr:rowOff>
    </xdr:from>
    <xdr:to>
      <xdr:col>15</xdr:col>
      <xdr:colOff>300423</xdr:colOff>
      <xdr:row>18</xdr:row>
      <xdr:rowOff>259920</xdr:rowOff>
    </xdr:to>
    <xdr:grpSp>
      <xdr:nvGrpSpPr>
        <xdr:cNvPr id="15" name="Grupo 14"/>
        <xdr:cNvGrpSpPr/>
      </xdr:nvGrpSpPr>
      <xdr:grpSpPr>
        <a:xfrm>
          <a:off x="6836437" y="3572220"/>
          <a:ext cx="4556281" cy="1155791"/>
          <a:chOff x="3644718" y="5356364"/>
          <a:chExt cx="4416779" cy="1162050"/>
        </a:xfrm>
      </xdr:grpSpPr>
      <xdr:grpSp>
        <xdr:nvGrpSpPr>
          <xdr:cNvPr id="38" name="Group 8"/>
          <xdr:cNvGrpSpPr>
            <a:grpSpLocks noChangeAspect="1"/>
          </xdr:cNvGrpSpPr>
        </xdr:nvGrpSpPr>
        <xdr:grpSpPr bwMode="auto">
          <a:xfrm>
            <a:off x="3644718" y="5356364"/>
            <a:ext cx="4416779" cy="1162050"/>
            <a:chOff x="2274" y="3374"/>
            <a:chExt cx="1356" cy="732"/>
          </a:xfrm>
        </xdr:grpSpPr>
        <xdr:sp macro="" textlink="">
          <xdr:nvSpPr>
            <xdr:cNvPr id="41" name="Rectangle 9"/>
            <xdr:cNvSpPr>
              <a:spLocks noChangeArrowheads="1"/>
            </xdr:cNvSpPr>
          </xdr:nvSpPr>
          <xdr:spPr bwMode="auto">
            <a:xfrm>
              <a:off x="2322" y="3422"/>
              <a:ext cx="1308" cy="684"/>
            </a:xfrm>
            <a:prstGeom prst="rect">
              <a:avLst/>
            </a:prstGeom>
            <a:solidFill>
              <a:srgbClr val="91919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42" name="Rectangle 10"/>
            <xdr:cNvSpPr>
              <a:spLocks noChangeArrowheads="1"/>
            </xdr:cNvSpPr>
          </xdr:nvSpPr>
          <xdr:spPr bwMode="auto">
            <a:xfrm>
              <a:off x="2274" y="3374"/>
              <a:ext cx="1308" cy="684"/>
            </a:xfrm>
            <a:prstGeom prst="rect">
              <a:avLst/>
            </a:prstGeom>
            <a:solidFill>
              <a:srgbClr val="CC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grpSp>
          <xdr:nvGrpSpPr>
            <xdr:cNvPr id="43" name="Group 19"/>
            <xdr:cNvGrpSpPr>
              <a:grpSpLocks/>
            </xdr:cNvGrpSpPr>
          </xdr:nvGrpSpPr>
          <xdr:grpSpPr bwMode="auto">
            <a:xfrm>
              <a:off x="2375" y="3431"/>
              <a:ext cx="1073" cy="564"/>
              <a:chOff x="2375" y="3431"/>
              <a:chExt cx="1073" cy="564"/>
            </a:xfrm>
          </xdr:grpSpPr>
          <xdr:sp macro="" textlink="">
            <xdr:nvSpPr>
              <xdr:cNvPr id="45" name="Line 11"/>
              <xdr:cNvSpPr>
                <a:spLocks noChangeShapeType="1"/>
              </xdr:cNvSpPr>
            </xdr:nvSpPr>
            <xdr:spPr bwMode="auto">
              <a:xfrm>
                <a:off x="2739" y="3741"/>
                <a:ext cx="318" cy="0"/>
              </a:xfrm>
              <a:prstGeom prst="line">
                <a:avLst/>
              </a:prstGeom>
              <a:noFill/>
              <a:ln w="22225">
                <a:solidFill>
                  <a:srgbClr val="000000"/>
                </a:solidFill>
                <a:prstDash val="solid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pt-BR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9pPr>
              </a:lstStyle>
              <a:p>
                <a:endParaRPr lang="pt-BR"/>
              </a:p>
            </xdr:txBody>
          </xdr:sp>
          <xdr:sp macro="" textlink="">
            <xdr:nvSpPr>
              <xdr:cNvPr id="46" name="Rectangle 12"/>
              <xdr:cNvSpPr>
                <a:spLocks noChangeArrowheads="1"/>
              </xdr:cNvSpPr>
            </xdr:nvSpPr>
            <xdr:spPr bwMode="auto">
              <a:xfrm>
                <a:off x="2375" y="3570"/>
                <a:ext cx="476" cy="27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="horz" wrap="square" lIns="0" tIns="0" rIns="0" bIns="0" numCol="1" anchor="t" anchorCtr="0" compatLnSpc="1">
                <a:prstTxWarp prst="textNoShape">
                  <a:avLst/>
                </a:prstTxWarp>
                <a:spAutoFit/>
              </a:bodyPr>
              <a:lstStyle>
                <a:defPPr>
                  <a:defRPr lang="pt-BR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kumimoji="0" lang="pt-BR" altLang="pt-BR" sz="2800" b="0" i="0" u="none" strike="noStrike" cap="none" normalizeH="0" baseline="0">
                    <a:ln>
                      <a:noFill/>
                    </a:ln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</a:rPr>
                  <a:t>VPL </a:t>
                </a:r>
                <a:endParaRPr kumimoji="0" lang="pt-BR" altLang="pt-BR" sz="18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Arial" panose="020B0604020202020204" pitchFamily="34" charset="0"/>
                </a:endParaRPr>
              </a:p>
            </xdr:txBody>
          </xdr:sp>
          <xdr:sp macro="" textlink="">
            <xdr:nvSpPr>
              <xdr:cNvPr id="47" name="Rectangle 13"/>
              <xdr:cNvSpPr>
                <a:spLocks noChangeArrowheads="1"/>
              </xdr:cNvSpPr>
            </xdr:nvSpPr>
            <xdr:spPr bwMode="auto">
              <a:xfrm>
                <a:off x="2616" y="3568"/>
                <a:ext cx="229" cy="30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="horz" wrap="square" lIns="0" tIns="0" rIns="0" bIns="0" numCol="1" anchor="t" anchorCtr="0" compatLnSpc="1">
                <a:prstTxWarp prst="textNoShape">
                  <a:avLst/>
                </a:prstTxWarp>
                <a:spAutoFit/>
              </a:bodyPr>
              <a:lstStyle>
                <a:defPPr>
                  <a:defRPr lang="pt-BR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kumimoji="0" lang="pt-BR" altLang="pt-BR" sz="2800" b="0" i="0" u="none" strike="noStrike" cap="none" normalizeH="0" baseline="0">
                    <a:ln>
                      <a:noFill/>
                    </a:ln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</a:rPr>
                  <a:t>=</a:t>
                </a:r>
                <a:endParaRPr kumimoji="0" lang="pt-BR" altLang="pt-BR" sz="18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Arial" panose="020B0604020202020204" pitchFamily="34" charset="0"/>
                </a:endParaRPr>
              </a:p>
            </xdr:txBody>
          </xdr:sp>
          <xdr:sp macro="" textlink="">
            <xdr:nvSpPr>
              <xdr:cNvPr id="48" name="Rectangle 14"/>
              <xdr:cNvSpPr>
                <a:spLocks noChangeArrowheads="1"/>
              </xdr:cNvSpPr>
            </xdr:nvSpPr>
            <xdr:spPr bwMode="auto">
              <a:xfrm>
                <a:off x="2729" y="3470"/>
                <a:ext cx="342" cy="27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="horz" wrap="square" lIns="0" tIns="0" rIns="0" bIns="0" numCol="1" anchor="t" anchorCtr="0" compatLnSpc="1">
                <a:prstTxWarp prst="textNoShape">
                  <a:avLst/>
                </a:prstTxWarp>
                <a:spAutoFit/>
              </a:bodyPr>
              <a:lstStyle>
                <a:defPPr>
                  <a:defRPr lang="pt-BR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kumimoji="0" lang="pt-BR" altLang="pt-BR" sz="2800" b="0" i="0" u="none" strike="noStrike" cap="none" normalizeH="0" baseline="0">
                    <a:ln>
                      <a:noFill/>
                    </a:ln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</a:rPr>
                  <a:t> PGTO </a:t>
                </a:r>
                <a:endParaRPr kumimoji="0" lang="pt-BR" altLang="pt-BR" sz="18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Arial" panose="020B0604020202020204" pitchFamily="34" charset="0"/>
                </a:endParaRPr>
              </a:p>
            </xdr:txBody>
          </xdr:sp>
          <xdr:sp macro="" textlink="">
            <xdr:nvSpPr>
              <xdr:cNvPr id="49" name="Rectangle 15"/>
              <xdr:cNvSpPr>
                <a:spLocks noChangeArrowheads="1"/>
              </xdr:cNvSpPr>
            </xdr:nvSpPr>
            <xdr:spPr bwMode="auto">
              <a:xfrm>
                <a:off x="3224" y="3551"/>
                <a:ext cx="224" cy="27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="horz" wrap="square" lIns="0" tIns="0" rIns="0" bIns="0" numCol="1" anchor="t" anchorCtr="0" compatLnSpc="1">
                <a:prstTxWarp prst="textNoShape">
                  <a:avLst/>
                </a:prstTxWarp>
                <a:spAutoFit/>
              </a:bodyPr>
              <a:lstStyle>
                <a:defPPr>
                  <a:defRPr lang="pt-BR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kumimoji="0" lang="pt-BR" altLang="pt-BR" sz="2800" b="0" i="0" u="none" strike="noStrike" cap="none" normalizeH="0" baseline="0">
                    <a:ln>
                      <a:noFill/>
                    </a:ln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</a:rPr>
                  <a:t> INV</a:t>
                </a:r>
                <a:endParaRPr kumimoji="0" lang="pt-BR" altLang="pt-BR" sz="18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Arial" panose="020B0604020202020204" pitchFamily="34" charset="0"/>
                </a:endParaRPr>
              </a:p>
            </xdr:txBody>
          </xdr:sp>
          <xdr:sp macro="" textlink="">
            <xdr:nvSpPr>
              <xdr:cNvPr id="50" name="Rectangle 16"/>
              <xdr:cNvSpPr>
                <a:spLocks noChangeArrowheads="1"/>
              </xdr:cNvSpPr>
            </xdr:nvSpPr>
            <xdr:spPr bwMode="auto">
              <a:xfrm>
                <a:off x="3355" y="3431"/>
                <a:ext cx="0" cy="1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="horz" wrap="square" lIns="0" tIns="0" rIns="0" bIns="0" numCol="1" anchor="t" anchorCtr="0" compatLnSpc="1">
                <a:prstTxWarp prst="textNoShape">
                  <a:avLst/>
                </a:prstTxWarp>
                <a:spAutoFit/>
              </a:bodyPr>
              <a:lstStyle>
                <a:defPPr>
                  <a:defRPr lang="pt-BR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endParaRPr kumimoji="0" lang="pt-BR" altLang="pt-BR" sz="18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Arial" panose="020B0604020202020204" pitchFamily="34" charset="0"/>
                </a:endParaRPr>
              </a:p>
            </xdr:txBody>
          </xdr:sp>
          <xdr:sp macro="" textlink="">
            <xdr:nvSpPr>
              <xdr:cNvPr id="51" name="Rectangle 17"/>
              <xdr:cNvSpPr>
                <a:spLocks noChangeArrowheads="1"/>
              </xdr:cNvSpPr>
            </xdr:nvSpPr>
            <xdr:spPr bwMode="auto">
              <a:xfrm>
                <a:off x="2777" y="3724"/>
                <a:ext cx="245" cy="27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="horz" wrap="square" lIns="0" tIns="0" rIns="0" bIns="0" numCol="1" anchor="t" anchorCtr="0" compatLnSpc="1">
                <a:prstTxWarp prst="textNoShape">
                  <a:avLst/>
                </a:prstTxWarp>
                <a:spAutoFit/>
              </a:bodyPr>
              <a:lstStyle>
                <a:defPPr>
                  <a:defRPr lang="pt-BR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2400" kern="120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kumimoji="0" lang="pt-BR" altLang="pt-BR" sz="2800" b="0" i="0" u="none" strike="noStrike" cap="none" normalizeH="0" baseline="0">
                    <a:ln>
                      <a:noFill/>
                    </a:ln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</a:rPr>
                  <a:t>TMA</a:t>
                </a:r>
                <a:endParaRPr kumimoji="0" lang="pt-BR" altLang="pt-BR" sz="18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Arial" panose="020B0604020202020204" pitchFamily="34" charset="0"/>
                </a:endParaRPr>
              </a:p>
            </xdr:txBody>
          </xdr:sp>
        </xdr:grpSp>
        <xdr:sp macro="" textlink="">
          <xdr:nvSpPr>
            <xdr:cNvPr id="44" name="Rectangle 20"/>
            <xdr:cNvSpPr>
              <a:spLocks noChangeArrowheads="1"/>
            </xdr:cNvSpPr>
          </xdr:nvSpPr>
          <xdr:spPr bwMode="auto">
            <a:xfrm>
              <a:off x="2274" y="3374"/>
              <a:ext cx="1309" cy="685"/>
            </a:xfrm>
            <a:prstGeom prst="rect">
              <a:avLst/>
            </a:prstGeom>
            <a:noFill/>
            <a:ln w="19050">
              <a:solidFill>
                <a:srgbClr val="00000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</xdr:grpSp>
      <xdr:sp macro="" textlink="">
        <xdr:nvSpPr>
          <xdr:cNvPr id="39" name="Line 11"/>
          <xdr:cNvSpPr>
            <a:spLocks noChangeShapeType="1"/>
          </xdr:cNvSpPr>
        </xdr:nvSpPr>
        <xdr:spPr bwMode="auto">
          <a:xfrm>
            <a:off x="6437554" y="5899151"/>
            <a:ext cx="222678" cy="0"/>
          </a:xfrm>
          <a:prstGeom prst="line">
            <a:avLst/>
          </a:prstGeom>
          <a:noFill/>
          <a:ln w="2222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  <xdr:twoCellAnchor>
    <xdr:from>
      <xdr:col>10</xdr:col>
      <xdr:colOff>575272</xdr:colOff>
      <xdr:row>19</xdr:row>
      <xdr:rowOff>122441</xdr:rowOff>
    </xdr:from>
    <xdr:to>
      <xdr:col>15</xdr:col>
      <xdr:colOff>569566</xdr:colOff>
      <xdr:row>24</xdr:row>
      <xdr:rowOff>188828</xdr:rowOff>
    </xdr:to>
    <xdr:grpSp>
      <xdr:nvGrpSpPr>
        <xdr:cNvPr id="16" name="Group 8"/>
        <xdr:cNvGrpSpPr>
          <a:grpSpLocks noChangeAspect="1"/>
        </xdr:cNvGrpSpPr>
      </xdr:nvGrpSpPr>
      <xdr:grpSpPr bwMode="auto">
        <a:xfrm>
          <a:off x="6636636" y="4858964"/>
          <a:ext cx="5025225" cy="1408546"/>
          <a:chOff x="2223" y="3323"/>
          <a:chExt cx="1514" cy="890"/>
        </a:xfrm>
      </xdr:grpSpPr>
      <xdr:sp macro="" textlink="">
        <xdr:nvSpPr>
          <xdr:cNvPr id="29" name="AutoShape 7"/>
          <xdr:cNvSpPr>
            <a:spLocks noChangeAspect="1" noChangeArrowheads="1" noTextEdit="1"/>
          </xdr:cNvSpPr>
        </xdr:nvSpPr>
        <xdr:spPr bwMode="auto">
          <a:xfrm>
            <a:off x="2223" y="3323"/>
            <a:ext cx="1514" cy="8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30" name="Rectangle 9"/>
          <xdr:cNvSpPr>
            <a:spLocks noChangeArrowheads="1"/>
          </xdr:cNvSpPr>
        </xdr:nvSpPr>
        <xdr:spPr bwMode="auto">
          <a:xfrm>
            <a:off x="2322" y="3422"/>
            <a:ext cx="1308" cy="684"/>
          </a:xfrm>
          <a:prstGeom prst="rect">
            <a:avLst/>
          </a:prstGeom>
          <a:solidFill>
            <a:srgbClr val="9191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31" name="Rectangle 10"/>
          <xdr:cNvSpPr>
            <a:spLocks noChangeArrowheads="1"/>
          </xdr:cNvSpPr>
        </xdr:nvSpPr>
        <xdr:spPr bwMode="auto">
          <a:xfrm>
            <a:off x="2268" y="3374"/>
            <a:ext cx="1308" cy="684"/>
          </a:xfrm>
          <a:prstGeom prst="rect">
            <a:avLst/>
          </a:pr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grpSp>
        <xdr:nvGrpSpPr>
          <xdr:cNvPr id="32" name="Group 19"/>
          <xdr:cNvGrpSpPr>
            <a:grpSpLocks/>
          </xdr:cNvGrpSpPr>
        </xdr:nvGrpSpPr>
        <xdr:grpSpPr bwMode="auto">
          <a:xfrm>
            <a:off x="2527" y="3431"/>
            <a:ext cx="973" cy="438"/>
            <a:chOff x="2527" y="3431"/>
            <a:chExt cx="973" cy="438"/>
          </a:xfrm>
        </xdr:grpSpPr>
        <xdr:sp macro="" textlink="">
          <xdr:nvSpPr>
            <xdr:cNvPr id="34" name="Rectangle 12"/>
            <xdr:cNvSpPr>
              <a:spLocks noChangeArrowheads="1"/>
            </xdr:cNvSpPr>
          </xdr:nvSpPr>
          <xdr:spPr bwMode="auto">
            <a:xfrm>
              <a:off x="2527" y="3567"/>
              <a:ext cx="167" cy="27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0" tIns="0" rIns="0" bIns="0" numCol="1" anchor="t" anchorCtr="0" compatLnSpc="1">
              <a:prstTxWarp prst="textNoShape">
                <a:avLst/>
              </a:prstTxWarp>
              <a:spAutoFit/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pt-BR" altLang="pt-BR" sz="2800" b="0" i="0" u="none" strike="noStrike" cap="none" normalizeH="0" baseline="0">
                  <a:ln>
                    <a:noFill/>
                  </a:ln>
                  <a:solidFill>
                    <a:srgbClr val="000000"/>
                  </a:solidFill>
                  <a:effectLst/>
                  <a:latin typeface="Times New Roman" panose="02020603050405020304" pitchFamily="18" charset="0"/>
                </a:rPr>
                <a:t>VA </a:t>
              </a:r>
              <a:endParaRPr kumimoji="0" lang="pt-BR" altLang="pt-BR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35" name="Rectangle 13"/>
            <xdr:cNvSpPr>
              <a:spLocks noChangeArrowheads="1"/>
            </xdr:cNvSpPr>
          </xdr:nvSpPr>
          <xdr:spPr bwMode="auto">
            <a:xfrm>
              <a:off x="2801" y="3562"/>
              <a:ext cx="229" cy="30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0" tIns="0" rIns="0" bIns="0" numCol="1" anchor="t" anchorCtr="0" compatLnSpc="1">
              <a:prstTxWarp prst="textNoShape">
                <a:avLst/>
              </a:prstTxWarp>
              <a:spAutoFit/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pt-BR" altLang="pt-BR" sz="2800" b="0" i="0" u="none" strike="noStrike" cap="none" normalizeH="0" baseline="0">
                  <a:ln>
                    <a:noFill/>
                  </a:ln>
                  <a:solidFill>
                    <a:srgbClr val="000000"/>
                  </a:solidFill>
                  <a:effectLst/>
                  <a:latin typeface="Times New Roman" panose="02020603050405020304" pitchFamily="18" charset="0"/>
                </a:rPr>
                <a:t>=</a:t>
              </a:r>
              <a:endParaRPr kumimoji="0" lang="pt-BR" altLang="pt-BR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36" name="Rectangle 16"/>
            <xdr:cNvSpPr>
              <a:spLocks noChangeArrowheads="1"/>
            </xdr:cNvSpPr>
          </xdr:nvSpPr>
          <xdr:spPr bwMode="auto">
            <a:xfrm>
              <a:off x="3355" y="3431"/>
              <a:ext cx="0" cy="17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0" tIns="0" rIns="0" bIns="0" numCol="1" anchor="t" anchorCtr="0" compatLnSpc="1">
              <a:prstTxWarp prst="textNoShape">
                <a:avLst/>
              </a:prstTxWarp>
              <a:spAutoFit/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endParaRPr kumimoji="0" lang="pt-BR" altLang="pt-BR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37" name="Rectangle 17"/>
            <xdr:cNvSpPr>
              <a:spLocks noChangeArrowheads="1"/>
            </xdr:cNvSpPr>
          </xdr:nvSpPr>
          <xdr:spPr bwMode="auto">
            <a:xfrm>
              <a:off x="2942" y="3565"/>
              <a:ext cx="558" cy="27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0" tIns="0" rIns="0" bIns="0" numCol="1" anchor="t" anchorCtr="0" compatLnSpc="1">
              <a:prstTxWarp prst="textNoShape">
                <a:avLst/>
              </a:prstTxWarp>
              <a:spAutoFit/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pt-BR" altLang="pt-BR" sz="2800" b="0" i="0" u="none" strike="noStrike" cap="none" normalizeH="0" baseline="0">
                  <a:ln>
                    <a:noFill/>
                  </a:ln>
                  <a:solidFill>
                    <a:srgbClr val="000000"/>
                  </a:solidFill>
                  <a:effectLst/>
                  <a:latin typeface="Times New Roman" panose="02020603050405020304" pitchFamily="18" charset="0"/>
                </a:rPr>
                <a:t>VPL x TMA</a:t>
              </a:r>
              <a:endParaRPr kumimoji="0" lang="pt-BR" altLang="pt-BR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Arial" panose="020B0604020202020204" pitchFamily="34" charset="0"/>
              </a:endParaRPr>
            </a:p>
          </xdr:txBody>
        </xdr:sp>
      </xdr:grpSp>
      <xdr:sp macro="" textlink="">
        <xdr:nvSpPr>
          <xdr:cNvPr id="33" name="Rectangle 20"/>
          <xdr:cNvSpPr>
            <a:spLocks noChangeArrowheads="1"/>
          </xdr:cNvSpPr>
        </xdr:nvSpPr>
        <xdr:spPr bwMode="auto">
          <a:xfrm>
            <a:off x="2274" y="3374"/>
            <a:ext cx="1309" cy="685"/>
          </a:xfrm>
          <a:prstGeom prst="rect">
            <a:avLst/>
          </a:prstGeom>
          <a:noFill/>
          <a:ln w="19050">
            <a:solidFill>
              <a:srgbClr val="00000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  <xdr:twoCellAnchor>
    <xdr:from>
      <xdr:col>11</xdr:col>
      <xdr:colOff>39545</xdr:colOff>
      <xdr:row>24</xdr:row>
      <xdr:rowOff>190501</xdr:rowOff>
    </xdr:from>
    <xdr:to>
      <xdr:col>15</xdr:col>
      <xdr:colOff>491471</xdr:colOff>
      <xdr:row>29</xdr:row>
      <xdr:rowOff>254001</xdr:rowOff>
    </xdr:to>
    <xdr:grpSp>
      <xdr:nvGrpSpPr>
        <xdr:cNvPr id="17" name="Group 8"/>
        <xdr:cNvGrpSpPr>
          <a:grpSpLocks noChangeAspect="1"/>
        </xdr:cNvGrpSpPr>
      </xdr:nvGrpSpPr>
      <xdr:grpSpPr bwMode="auto">
        <a:xfrm>
          <a:off x="6707045" y="6269183"/>
          <a:ext cx="4876721" cy="1405659"/>
          <a:chOff x="2223" y="3323"/>
          <a:chExt cx="1514" cy="890"/>
        </a:xfrm>
      </xdr:grpSpPr>
      <xdr:sp macro="" textlink="">
        <xdr:nvSpPr>
          <xdr:cNvPr id="18" name="AutoShape 7"/>
          <xdr:cNvSpPr>
            <a:spLocks noChangeAspect="1" noChangeArrowheads="1" noTextEdit="1"/>
          </xdr:cNvSpPr>
        </xdr:nvSpPr>
        <xdr:spPr bwMode="auto">
          <a:xfrm>
            <a:off x="2223" y="3323"/>
            <a:ext cx="1514" cy="8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19" name="Rectangle 9"/>
          <xdr:cNvSpPr>
            <a:spLocks noChangeArrowheads="1"/>
          </xdr:cNvSpPr>
        </xdr:nvSpPr>
        <xdr:spPr bwMode="auto">
          <a:xfrm>
            <a:off x="2322" y="3422"/>
            <a:ext cx="1308" cy="684"/>
          </a:xfrm>
          <a:prstGeom prst="rect">
            <a:avLst/>
          </a:prstGeom>
          <a:solidFill>
            <a:srgbClr val="9191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0" name="Rectangle 10"/>
          <xdr:cNvSpPr>
            <a:spLocks noChangeArrowheads="1"/>
          </xdr:cNvSpPr>
        </xdr:nvSpPr>
        <xdr:spPr bwMode="auto">
          <a:xfrm>
            <a:off x="2274" y="3374"/>
            <a:ext cx="1308" cy="684"/>
          </a:xfrm>
          <a:prstGeom prst="rect">
            <a:avLst/>
          </a:pr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grpSp>
        <xdr:nvGrpSpPr>
          <xdr:cNvPr id="21" name="Group 19"/>
          <xdr:cNvGrpSpPr>
            <a:grpSpLocks/>
          </xdr:cNvGrpSpPr>
        </xdr:nvGrpSpPr>
        <xdr:grpSpPr bwMode="auto">
          <a:xfrm>
            <a:off x="2617" y="3431"/>
            <a:ext cx="738" cy="563"/>
            <a:chOff x="2617" y="3431"/>
            <a:chExt cx="738" cy="563"/>
          </a:xfrm>
        </xdr:grpSpPr>
        <xdr:sp macro="" textlink="">
          <xdr:nvSpPr>
            <xdr:cNvPr id="23" name="Line 11"/>
            <xdr:cNvSpPr>
              <a:spLocks noChangeShapeType="1"/>
            </xdr:cNvSpPr>
          </xdr:nvSpPr>
          <xdr:spPr bwMode="auto">
            <a:xfrm>
              <a:off x="2979" y="3741"/>
              <a:ext cx="318" cy="0"/>
            </a:xfrm>
            <a:prstGeom prst="line">
              <a:avLst/>
            </a:prstGeom>
            <a:noFill/>
            <a:ln w="22225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24" name="Rectangle 12"/>
            <xdr:cNvSpPr>
              <a:spLocks noChangeArrowheads="1"/>
            </xdr:cNvSpPr>
          </xdr:nvSpPr>
          <xdr:spPr bwMode="auto">
            <a:xfrm>
              <a:off x="2617" y="3570"/>
              <a:ext cx="205" cy="27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0" tIns="0" rIns="0" bIns="0" numCol="1" anchor="t" anchorCtr="0" compatLnSpc="1">
              <a:prstTxWarp prst="textNoShape">
                <a:avLst/>
              </a:prstTxWarp>
              <a:spAutoFit/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pt-BR" altLang="pt-BR" sz="2800" b="0" i="0" u="none" strike="noStrike" cap="none" normalizeH="0" baseline="0">
                  <a:ln>
                    <a:noFill/>
                  </a:ln>
                  <a:solidFill>
                    <a:srgbClr val="000000"/>
                  </a:solidFill>
                  <a:effectLst/>
                  <a:latin typeface="Times New Roman" panose="02020603050405020304" pitchFamily="18" charset="0"/>
                </a:rPr>
                <a:t>TIR </a:t>
              </a:r>
              <a:endParaRPr kumimoji="0" lang="pt-BR" altLang="pt-BR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5" name="Rectangle 13"/>
            <xdr:cNvSpPr>
              <a:spLocks noChangeArrowheads="1"/>
            </xdr:cNvSpPr>
          </xdr:nvSpPr>
          <xdr:spPr bwMode="auto">
            <a:xfrm>
              <a:off x="2858" y="3568"/>
              <a:ext cx="229" cy="30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0" tIns="0" rIns="0" bIns="0" numCol="1" anchor="t" anchorCtr="0" compatLnSpc="1">
              <a:prstTxWarp prst="textNoShape">
                <a:avLst/>
              </a:prstTxWarp>
              <a:spAutoFit/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pt-BR" altLang="pt-BR" sz="2800" b="0" i="0" u="none" strike="noStrike" cap="none" normalizeH="0" baseline="0">
                  <a:ln>
                    <a:noFill/>
                  </a:ln>
                  <a:solidFill>
                    <a:srgbClr val="000000"/>
                  </a:solidFill>
                  <a:effectLst/>
                  <a:latin typeface="Times New Roman" panose="02020603050405020304" pitchFamily="18" charset="0"/>
                </a:rPr>
                <a:t>=</a:t>
              </a:r>
              <a:endParaRPr kumimoji="0" lang="pt-BR" altLang="pt-BR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6" name="Rectangle 14"/>
            <xdr:cNvSpPr>
              <a:spLocks noChangeArrowheads="1"/>
            </xdr:cNvSpPr>
          </xdr:nvSpPr>
          <xdr:spPr bwMode="auto">
            <a:xfrm>
              <a:off x="2971" y="3470"/>
              <a:ext cx="342" cy="27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0" tIns="0" rIns="0" bIns="0" numCol="1" anchor="t" anchorCtr="0" compatLnSpc="1">
              <a:prstTxWarp prst="textNoShape">
                <a:avLst/>
              </a:prstTxWarp>
              <a:spAutoFit/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pt-BR" altLang="pt-BR" sz="2800" b="0" i="0" u="none" strike="noStrike" cap="none" normalizeH="0" baseline="0">
                  <a:ln>
                    <a:noFill/>
                  </a:ln>
                  <a:solidFill>
                    <a:srgbClr val="000000"/>
                  </a:solidFill>
                  <a:effectLst/>
                  <a:latin typeface="Times New Roman" panose="02020603050405020304" pitchFamily="18" charset="0"/>
                </a:rPr>
                <a:t> PGTO </a:t>
              </a:r>
              <a:endParaRPr kumimoji="0" lang="pt-BR" altLang="pt-BR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7" name="Rectangle 16"/>
            <xdr:cNvSpPr>
              <a:spLocks noChangeArrowheads="1"/>
            </xdr:cNvSpPr>
          </xdr:nvSpPr>
          <xdr:spPr bwMode="auto">
            <a:xfrm>
              <a:off x="3355" y="3431"/>
              <a:ext cx="0" cy="17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0" tIns="0" rIns="0" bIns="0" numCol="1" anchor="t" anchorCtr="0" compatLnSpc="1">
              <a:prstTxWarp prst="textNoShape">
                <a:avLst/>
              </a:prstTxWarp>
              <a:spAutoFit/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endParaRPr kumimoji="0" lang="pt-BR" altLang="pt-BR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8" name="Rectangle 17"/>
            <xdr:cNvSpPr>
              <a:spLocks noChangeArrowheads="1"/>
            </xdr:cNvSpPr>
          </xdr:nvSpPr>
          <xdr:spPr bwMode="auto">
            <a:xfrm>
              <a:off x="3045" y="3723"/>
              <a:ext cx="196" cy="27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0" tIns="0" rIns="0" bIns="0" numCol="1" anchor="t" anchorCtr="0" compatLnSpc="1">
              <a:prstTxWarp prst="textNoShape">
                <a:avLst/>
              </a:prstTxWarp>
              <a:spAutoFit/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pt-BR" altLang="pt-BR" sz="2800" b="0" i="0" u="none" strike="noStrike" cap="none" normalizeH="0" baseline="0">
                  <a:ln>
                    <a:noFill/>
                  </a:ln>
                  <a:solidFill>
                    <a:srgbClr val="000000"/>
                  </a:solidFill>
                  <a:effectLst/>
                  <a:latin typeface="Times New Roman" panose="02020603050405020304" pitchFamily="18" charset="0"/>
                </a:rPr>
                <a:t>INV</a:t>
              </a:r>
              <a:endParaRPr kumimoji="0" lang="pt-BR" altLang="pt-BR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Arial" panose="020B0604020202020204" pitchFamily="34" charset="0"/>
              </a:endParaRPr>
            </a:p>
          </xdr:txBody>
        </xdr:sp>
      </xdr:grpSp>
      <xdr:sp macro="" textlink="">
        <xdr:nvSpPr>
          <xdr:cNvPr id="22" name="Rectangle 20"/>
          <xdr:cNvSpPr>
            <a:spLocks noChangeArrowheads="1"/>
          </xdr:cNvSpPr>
        </xdr:nvSpPr>
        <xdr:spPr bwMode="auto">
          <a:xfrm>
            <a:off x="2274" y="3374"/>
            <a:ext cx="1309" cy="685"/>
          </a:xfrm>
          <a:prstGeom prst="rect">
            <a:avLst/>
          </a:prstGeom>
          <a:noFill/>
          <a:ln w="19050">
            <a:solidFill>
              <a:srgbClr val="00000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139795</xdr:colOff>
      <xdr:row>1</xdr:row>
      <xdr:rowOff>216476</xdr:rowOff>
    </xdr:from>
    <xdr:to>
      <xdr:col>16</xdr:col>
      <xdr:colOff>372340</xdr:colOff>
      <xdr:row>10</xdr:row>
      <xdr:rowOff>200074</xdr:rowOff>
    </xdr:to>
    <xdr:grpSp>
      <xdr:nvGrpSpPr>
        <xdr:cNvPr id="2" name="Grupo 1"/>
        <xdr:cNvGrpSpPr/>
      </xdr:nvGrpSpPr>
      <xdr:grpSpPr>
        <a:xfrm>
          <a:off x="8694977" y="458931"/>
          <a:ext cx="3367136" cy="2165688"/>
          <a:chOff x="2914650" y="1016000"/>
          <a:chExt cx="3097213" cy="2354263"/>
        </a:xfrm>
      </xdr:grpSpPr>
      <xdr:sp macro="" textlink="">
        <xdr:nvSpPr>
          <xdr:cNvPr id="3" name="Line 4"/>
          <xdr:cNvSpPr>
            <a:spLocks noChangeShapeType="1"/>
          </xdr:cNvSpPr>
        </xdr:nvSpPr>
        <xdr:spPr bwMode="auto">
          <a:xfrm flipV="1">
            <a:off x="4094163" y="1374775"/>
            <a:ext cx="1587" cy="719138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4" name="Text Box 5"/>
          <xdr:cNvSpPr txBox="1">
            <a:spLocks noChangeArrowheads="1"/>
          </xdr:cNvSpPr>
        </xdr:nvSpPr>
        <xdr:spPr bwMode="auto">
          <a:xfrm>
            <a:off x="3724275" y="1725613"/>
            <a:ext cx="503238" cy="369887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1</a:t>
            </a:r>
          </a:p>
        </xdr:txBody>
      </xdr:sp>
      <xdr:sp macro="" textlink="">
        <xdr:nvSpPr>
          <xdr:cNvPr id="5" name="Text Box 6"/>
          <xdr:cNvSpPr txBox="1">
            <a:spLocks noChangeArrowheads="1"/>
          </xdr:cNvSpPr>
        </xdr:nvSpPr>
        <xdr:spPr bwMode="auto">
          <a:xfrm>
            <a:off x="4298950" y="1725613"/>
            <a:ext cx="503238" cy="369887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2</a:t>
            </a:r>
          </a:p>
        </xdr:txBody>
      </xdr:sp>
      <xdr:grpSp>
        <xdr:nvGrpSpPr>
          <xdr:cNvPr id="6" name="Group 7"/>
          <xdr:cNvGrpSpPr>
            <a:grpSpLocks/>
          </xdr:cNvGrpSpPr>
        </xdr:nvGrpSpPr>
        <xdr:grpSpPr bwMode="auto">
          <a:xfrm>
            <a:off x="4786279" y="1825631"/>
            <a:ext cx="490534" cy="576264"/>
            <a:chOff x="3478" y="2387"/>
            <a:chExt cx="309" cy="363"/>
          </a:xfrm>
        </xdr:grpSpPr>
        <xdr:sp macro="" textlink="">
          <xdr:nvSpPr>
            <xdr:cNvPr id="17" name="Line 8"/>
            <xdr:cNvSpPr>
              <a:spLocks noChangeShapeType="1"/>
            </xdr:cNvSpPr>
          </xdr:nvSpPr>
          <xdr:spPr bwMode="auto">
            <a:xfrm flipV="1">
              <a:off x="3478" y="2387"/>
              <a:ext cx="45" cy="181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18" name="Line 9"/>
            <xdr:cNvSpPr>
              <a:spLocks noChangeShapeType="1"/>
            </xdr:cNvSpPr>
          </xdr:nvSpPr>
          <xdr:spPr bwMode="auto">
            <a:xfrm>
              <a:off x="3515" y="2387"/>
              <a:ext cx="227" cy="363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19" name="Line 10"/>
            <xdr:cNvSpPr>
              <a:spLocks noChangeShapeType="1"/>
            </xdr:cNvSpPr>
          </xdr:nvSpPr>
          <xdr:spPr bwMode="auto">
            <a:xfrm flipV="1">
              <a:off x="3742" y="2568"/>
              <a:ext cx="45" cy="182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</xdr:grpSp>
      <xdr:sp macro="" textlink="">
        <xdr:nvSpPr>
          <xdr:cNvPr id="7" name="Line 11"/>
          <xdr:cNvSpPr>
            <a:spLocks noChangeShapeType="1"/>
          </xdr:cNvSpPr>
        </xdr:nvSpPr>
        <xdr:spPr bwMode="auto">
          <a:xfrm>
            <a:off x="3417888" y="2095500"/>
            <a:ext cx="1368425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8" name="Line 12"/>
          <xdr:cNvSpPr>
            <a:spLocks noChangeShapeType="1"/>
          </xdr:cNvSpPr>
        </xdr:nvSpPr>
        <xdr:spPr bwMode="auto">
          <a:xfrm>
            <a:off x="5291138" y="2147888"/>
            <a:ext cx="720725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9" name="Text Box 13"/>
          <xdr:cNvSpPr txBox="1">
            <a:spLocks noChangeArrowheads="1"/>
          </xdr:cNvSpPr>
        </xdr:nvSpPr>
        <xdr:spPr bwMode="auto">
          <a:xfrm rot="5400000">
            <a:off x="5408613" y="1774825"/>
            <a:ext cx="503238" cy="369887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8</a:t>
            </a:r>
          </a:p>
        </xdr:txBody>
      </xdr:sp>
      <xdr:sp macro="" textlink="">
        <xdr:nvSpPr>
          <xdr:cNvPr id="10" name="Line 14"/>
          <xdr:cNvSpPr>
            <a:spLocks noChangeShapeType="1"/>
          </xdr:cNvSpPr>
        </xdr:nvSpPr>
        <xdr:spPr bwMode="auto">
          <a:xfrm flipV="1">
            <a:off x="4668838" y="1374775"/>
            <a:ext cx="3175" cy="704850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11" name="Line 15"/>
          <xdr:cNvSpPr>
            <a:spLocks noChangeShapeType="1"/>
          </xdr:cNvSpPr>
        </xdr:nvSpPr>
        <xdr:spPr bwMode="auto">
          <a:xfrm flipH="1" flipV="1">
            <a:off x="3417888" y="2074863"/>
            <a:ext cx="1587" cy="102870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12" name="Text Box 16"/>
          <xdr:cNvSpPr txBox="1">
            <a:spLocks noChangeArrowheads="1"/>
          </xdr:cNvSpPr>
        </xdr:nvSpPr>
        <xdr:spPr bwMode="auto">
          <a:xfrm>
            <a:off x="3275013" y="1724025"/>
            <a:ext cx="503237" cy="369888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0</a:t>
            </a:r>
          </a:p>
        </xdr:txBody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 flipH="1" flipV="1">
            <a:off x="5478463" y="1428750"/>
            <a:ext cx="1587" cy="704850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14" name="Text Box 19"/>
          <xdr:cNvSpPr txBox="1">
            <a:spLocks noChangeArrowheads="1"/>
          </xdr:cNvSpPr>
        </xdr:nvSpPr>
        <xdr:spPr bwMode="auto">
          <a:xfrm>
            <a:off x="4140200" y="1016000"/>
            <a:ext cx="1296988" cy="3381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25.000</a:t>
            </a:r>
          </a:p>
        </xdr:txBody>
      </xdr:sp>
      <xdr:sp macro="" textlink="">
        <xdr:nvSpPr>
          <xdr:cNvPr id="15" name="Text Box 20"/>
          <xdr:cNvSpPr txBox="1">
            <a:spLocks noChangeArrowheads="1"/>
          </xdr:cNvSpPr>
        </xdr:nvSpPr>
        <xdr:spPr bwMode="auto">
          <a:xfrm>
            <a:off x="2914650" y="3032125"/>
            <a:ext cx="1296988" cy="3381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100.000</a:t>
            </a:r>
          </a:p>
        </xdr:txBody>
      </xdr:sp>
      <xdr:sp macro="" textlink="">
        <xdr:nvSpPr>
          <xdr:cNvPr id="16" name="Text Box 21"/>
          <xdr:cNvSpPr txBox="1">
            <a:spLocks noChangeArrowheads="1"/>
          </xdr:cNvSpPr>
        </xdr:nvSpPr>
        <xdr:spPr bwMode="auto">
          <a:xfrm>
            <a:off x="3779838" y="2524125"/>
            <a:ext cx="2232025" cy="3381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TMA = 20% a.a.</a:t>
            </a:r>
          </a:p>
        </xdr:txBody>
      </xdr:sp>
    </xdr:grpSp>
    <xdr:clientData/>
  </xdr:twoCellAnchor>
  <xdr:twoCellAnchor>
    <xdr:from>
      <xdr:col>3</xdr:col>
      <xdr:colOff>101696</xdr:colOff>
      <xdr:row>2</xdr:row>
      <xdr:rowOff>143740</xdr:rowOff>
    </xdr:from>
    <xdr:to>
      <xdr:col>8</xdr:col>
      <xdr:colOff>221673</xdr:colOff>
      <xdr:row>11</xdr:row>
      <xdr:rowOff>127337</xdr:rowOff>
    </xdr:to>
    <xdr:grpSp>
      <xdr:nvGrpSpPr>
        <xdr:cNvPr id="20" name="Grupo 19"/>
        <xdr:cNvGrpSpPr/>
      </xdr:nvGrpSpPr>
      <xdr:grpSpPr>
        <a:xfrm>
          <a:off x="1920105" y="628649"/>
          <a:ext cx="3367136" cy="2165688"/>
          <a:chOff x="2914650" y="1016000"/>
          <a:chExt cx="3097213" cy="2354263"/>
        </a:xfrm>
      </xdr:grpSpPr>
      <xdr:sp macro="" textlink="">
        <xdr:nvSpPr>
          <xdr:cNvPr id="21" name="Line 4"/>
          <xdr:cNvSpPr>
            <a:spLocks noChangeShapeType="1"/>
          </xdr:cNvSpPr>
        </xdr:nvSpPr>
        <xdr:spPr bwMode="auto">
          <a:xfrm flipV="1">
            <a:off x="4094163" y="1374775"/>
            <a:ext cx="1587" cy="719138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22" name="Text Box 5"/>
          <xdr:cNvSpPr txBox="1">
            <a:spLocks noChangeArrowheads="1"/>
          </xdr:cNvSpPr>
        </xdr:nvSpPr>
        <xdr:spPr bwMode="auto">
          <a:xfrm>
            <a:off x="3724275" y="1725613"/>
            <a:ext cx="503238" cy="369887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1</a:t>
            </a:r>
          </a:p>
        </xdr:txBody>
      </xdr:sp>
      <xdr:sp macro="" textlink="">
        <xdr:nvSpPr>
          <xdr:cNvPr id="23" name="Text Box 6"/>
          <xdr:cNvSpPr txBox="1">
            <a:spLocks noChangeArrowheads="1"/>
          </xdr:cNvSpPr>
        </xdr:nvSpPr>
        <xdr:spPr bwMode="auto">
          <a:xfrm>
            <a:off x="4298950" y="1725613"/>
            <a:ext cx="503238" cy="369887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2</a:t>
            </a:r>
          </a:p>
        </xdr:txBody>
      </xdr:sp>
      <xdr:grpSp>
        <xdr:nvGrpSpPr>
          <xdr:cNvPr id="24" name="Group 7"/>
          <xdr:cNvGrpSpPr>
            <a:grpSpLocks/>
          </xdr:cNvGrpSpPr>
        </xdr:nvGrpSpPr>
        <xdr:grpSpPr bwMode="auto">
          <a:xfrm>
            <a:off x="4786279" y="1825631"/>
            <a:ext cx="490534" cy="576264"/>
            <a:chOff x="3478" y="2387"/>
            <a:chExt cx="309" cy="363"/>
          </a:xfrm>
        </xdr:grpSpPr>
        <xdr:sp macro="" textlink="">
          <xdr:nvSpPr>
            <xdr:cNvPr id="35" name="Line 8"/>
            <xdr:cNvSpPr>
              <a:spLocks noChangeShapeType="1"/>
            </xdr:cNvSpPr>
          </xdr:nvSpPr>
          <xdr:spPr bwMode="auto">
            <a:xfrm flipV="1">
              <a:off x="3478" y="2387"/>
              <a:ext cx="45" cy="181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36" name="Line 9"/>
            <xdr:cNvSpPr>
              <a:spLocks noChangeShapeType="1"/>
            </xdr:cNvSpPr>
          </xdr:nvSpPr>
          <xdr:spPr bwMode="auto">
            <a:xfrm>
              <a:off x="3515" y="2387"/>
              <a:ext cx="227" cy="363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37" name="Line 10"/>
            <xdr:cNvSpPr>
              <a:spLocks noChangeShapeType="1"/>
            </xdr:cNvSpPr>
          </xdr:nvSpPr>
          <xdr:spPr bwMode="auto">
            <a:xfrm flipV="1">
              <a:off x="3742" y="2568"/>
              <a:ext cx="45" cy="182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</xdr:grpSp>
      <xdr:sp macro="" textlink="">
        <xdr:nvSpPr>
          <xdr:cNvPr id="25" name="Line 11"/>
          <xdr:cNvSpPr>
            <a:spLocks noChangeShapeType="1"/>
          </xdr:cNvSpPr>
        </xdr:nvSpPr>
        <xdr:spPr bwMode="auto">
          <a:xfrm>
            <a:off x="3417888" y="2095500"/>
            <a:ext cx="1368425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26" name="Line 12"/>
          <xdr:cNvSpPr>
            <a:spLocks noChangeShapeType="1"/>
          </xdr:cNvSpPr>
        </xdr:nvSpPr>
        <xdr:spPr bwMode="auto">
          <a:xfrm>
            <a:off x="5291138" y="2147888"/>
            <a:ext cx="720725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27" name="Text Box 13"/>
          <xdr:cNvSpPr txBox="1">
            <a:spLocks noChangeArrowheads="1"/>
          </xdr:cNvSpPr>
        </xdr:nvSpPr>
        <xdr:spPr bwMode="auto">
          <a:xfrm>
            <a:off x="5447323" y="1756409"/>
            <a:ext cx="425819" cy="406719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10</a:t>
            </a:r>
          </a:p>
        </xdr:txBody>
      </xdr:sp>
      <xdr:sp macro="" textlink="">
        <xdr:nvSpPr>
          <xdr:cNvPr id="28" name="Line 14"/>
          <xdr:cNvSpPr>
            <a:spLocks noChangeShapeType="1"/>
          </xdr:cNvSpPr>
        </xdr:nvSpPr>
        <xdr:spPr bwMode="auto">
          <a:xfrm flipV="1">
            <a:off x="4668838" y="1374775"/>
            <a:ext cx="3175" cy="704850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29" name="Line 15"/>
          <xdr:cNvSpPr>
            <a:spLocks noChangeShapeType="1"/>
          </xdr:cNvSpPr>
        </xdr:nvSpPr>
        <xdr:spPr bwMode="auto">
          <a:xfrm flipH="1" flipV="1">
            <a:off x="3417888" y="2074863"/>
            <a:ext cx="1587" cy="102870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30" name="Text Box 16"/>
          <xdr:cNvSpPr txBox="1">
            <a:spLocks noChangeArrowheads="1"/>
          </xdr:cNvSpPr>
        </xdr:nvSpPr>
        <xdr:spPr bwMode="auto">
          <a:xfrm>
            <a:off x="3275013" y="1724025"/>
            <a:ext cx="503237" cy="369888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0</a:t>
            </a:r>
          </a:p>
        </xdr:txBody>
      </xdr:sp>
      <xdr:sp macro="" textlink="">
        <xdr:nvSpPr>
          <xdr:cNvPr id="31" name="Line 17"/>
          <xdr:cNvSpPr>
            <a:spLocks noChangeShapeType="1"/>
          </xdr:cNvSpPr>
        </xdr:nvSpPr>
        <xdr:spPr bwMode="auto">
          <a:xfrm flipH="1" flipV="1">
            <a:off x="5478463" y="1428750"/>
            <a:ext cx="1587" cy="704850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32" name="Text Box 19"/>
          <xdr:cNvSpPr txBox="1">
            <a:spLocks noChangeArrowheads="1"/>
          </xdr:cNvSpPr>
        </xdr:nvSpPr>
        <xdr:spPr bwMode="auto">
          <a:xfrm>
            <a:off x="4140200" y="1016000"/>
            <a:ext cx="1296988" cy="3381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25.000</a:t>
            </a:r>
          </a:p>
        </xdr:txBody>
      </xdr:sp>
      <xdr:sp macro="" textlink="">
        <xdr:nvSpPr>
          <xdr:cNvPr id="33" name="Text Box 20"/>
          <xdr:cNvSpPr txBox="1">
            <a:spLocks noChangeArrowheads="1"/>
          </xdr:cNvSpPr>
        </xdr:nvSpPr>
        <xdr:spPr bwMode="auto">
          <a:xfrm>
            <a:off x="2914650" y="3032125"/>
            <a:ext cx="1296988" cy="3381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100.000</a:t>
            </a:r>
          </a:p>
        </xdr:txBody>
      </xdr:sp>
      <xdr:sp macro="" textlink="">
        <xdr:nvSpPr>
          <xdr:cNvPr id="34" name="Text Box 21"/>
          <xdr:cNvSpPr txBox="1">
            <a:spLocks noChangeArrowheads="1"/>
          </xdr:cNvSpPr>
        </xdr:nvSpPr>
        <xdr:spPr bwMode="auto">
          <a:xfrm>
            <a:off x="3779838" y="2524125"/>
            <a:ext cx="2232025" cy="3381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TMA = 20% a.a.</a:t>
            </a:r>
          </a:p>
        </xdr:txBody>
      </xdr:sp>
    </xdr:grpSp>
    <xdr:clientData/>
  </xdr:twoCellAnchor>
  <xdr:twoCellAnchor>
    <xdr:from>
      <xdr:col>8</xdr:col>
      <xdr:colOff>323369</xdr:colOff>
      <xdr:row>1</xdr:row>
      <xdr:rowOff>200890</xdr:rowOff>
    </xdr:from>
    <xdr:to>
      <xdr:col>12</xdr:col>
      <xdr:colOff>200891</xdr:colOff>
      <xdr:row>10</xdr:row>
      <xdr:rowOff>184488</xdr:rowOff>
    </xdr:to>
    <xdr:grpSp>
      <xdr:nvGrpSpPr>
        <xdr:cNvPr id="38" name="Grupo 37"/>
        <xdr:cNvGrpSpPr/>
      </xdr:nvGrpSpPr>
      <xdr:grpSpPr>
        <a:xfrm>
          <a:off x="5388937" y="443345"/>
          <a:ext cx="3367136" cy="2165688"/>
          <a:chOff x="2914650" y="1016000"/>
          <a:chExt cx="3097213" cy="2354263"/>
        </a:xfrm>
      </xdr:grpSpPr>
      <xdr:sp macro="" textlink="">
        <xdr:nvSpPr>
          <xdr:cNvPr id="39" name="Line 4"/>
          <xdr:cNvSpPr>
            <a:spLocks noChangeShapeType="1"/>
          </xdr:cNvSpPr>
        </xdr:nvSpPr>
        <xdr:spPr bwMode="auto">
          <a:xfrm flipV="1">
            <a:off x="4094163" y="1374775"/>
            <a:ext cx="1587" cy="719138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40" name="Text Box 5"/>
          <xdr:cNvSpPr txBox="1">
            <a:spLocks noChangeArrowheads="1"/>
          </xdr:cNvSpPr>
        </xdr:nvSpPr>
        <xdr:spPr bwMode="auto">
          <a:xfrm>
            <a:off x="3724275" y="1725613"/>
            <a:ext cx="503238" cy="369887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1</a:t>
            </a:r>
          </a:p>
        </xdr:txBody>
      </xdr:sp>
      <xdr:sp macro="" textlink="">
        <xdr:nvSpPr>
          <xdr:cNvPr id="41" name="Text Box 6"/>
          <xdr:cNvSpPr txBox="1">
            <a:spLocks noChangeArrowheads="1"/>
          </xdr:cNvSpPr>
        </xdr:nvSpPr>
        <xdr:spPr bwMode="auto">
          <a:xfrm>
            <a:off x="4298950" y="1725613"/>
            <a:ext cx="503238" cy="369887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2</a:t>
            </a:r>
          </a:p>
        </xdr:txBody>
      </xdr:sp>
      <xdr:grpSp>
        <xdr:nvGrpSpPr>
          <xdr:cNvPr id="42" name="Group 7"/>
          <xdr:cNvGrpSpPr>
            <a:grpSpLocks/>
          </xdr:cNvGrpSpPr>
        </xdr:nvGrpSpPr>
        <xdr:grpSpPr bwMode="auto">
          <a:xfrm>
            <a:off x="4786279" y="1825631"/>
            <a:ext cx="490534" cy="576264"/>
            <a:chOff x="3478" y="2387"/>
            <a:chExt cx="309" cy="363"/>
          </a:xfrm>
        </xdr:grpSpPr>
        <xdr:sp macro="" textlink="">
          <xdr:nvSpPr>
            <xdr:cNvPr id="53" name="Line 8"/>
            <xdr:cNvSpPr>
              <a:spLocks noChangeShapeType="1"/>
            </xdr:cNvSpPr>
          </xdr:nvSpPr>
          <xdr:spPr bwMode="auto">
            <a:xfrm flipV="1">
              <a:off x="3478" y="2387"/>
              <a:ext cx="45" cy="181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54" name="Line 9"/>
            <xdr:cNvSpPr>
              <a:spLocks noChangeShapeType="1"/>
            </xdr:cNvSpPr>
          </xdr:nvSpPr>
          <xdr:spPr bwMode="auto">
            <a:xfrm>
              <a:off x="3515" y="2387"/>
              <a:ext cx="227" cy="363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  <xdr:sp macro="" textlink="">
          <xdr:nvSpPr>
            <xdr:cNvPr id="55" name="Line 10"/>
            <xdr:cNvSpPr>
              <a:spLocks noChangeShapeType="1"/>
            </xdr:cNvSpPr>
          </xdr:nvSpPr>
          <xdr:spPr bwMode="auto">
            <a:xfrm flipV="1">
              <a:off x="3742" y="2568"/>
              <a:ext cx="45" cy="182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  <a:headEnd/>
              <a:tailEnd/>
            </a:ln>
            <a:effectLst/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pt-BR" sz="1800">
                <a:latin typeface="+mn-lt"/>
              </a:endParaRPr>
            </a:p>
          </xdr:txBody>
        </xdr:sp>
      </xdr:grpSp>
      <xdr:sp macro="" textlink="">
        <xdr:nvSpPr>
          <xdr:cNvPr id="43" name="Line 11"/>
          <xdr:cNvSpPr>
            <a:spLocks noChangeShapeType="1"/>
          </xdr:cNvSpPr>
        </xdr:nvSpPr>
        <xdr:spPr bwMode="auto">
          <a:xfrm>
            <a:off x="3417888" y="2095500"/>
            <a:ext cx="1368425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44" name="Line 12"/>
          <xdr:cNvSpPr>
            <a:spLocks noChangeShapeType="1"/>
          </xdr:cNvSpPr>
        </xdr:nvSpPr>
        <xdr:spPr bwMode="auto">
          <a:xfrm>
            <a:off x="5291138" y="2147888"/>
            <a:ext cx="720725" cy="0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45" name="Text Box 13"/>
          <xdr:cNvSpPr txBox="1">
            <a:spLocks noChangeArrowheads="1"/>
          </xdr:cNvSpPr>
        </xdr:nvSpPr>
        <xdr:spPr bwMode="auto">
          <a:xfrm>
            <a:off x="5447323" y="1756409"/>
            <a:ext cx="425819" cy="419811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50</a:t>
            </a:r>
          </a:p>
        </xdr:txBody>
      </xdr:sp>
      <xdr:sp macro="" textlink="">
        <xdr:nvSpPr>
          <xdr:cNvPr id="46" name="Line 14"/>
          <xdr:cNvSpPr>
            <a:spLocks noChangeShapeType="1"/>
          </xdr:cNvSpPr>
        </xdr:nvSpPr>
        <xdr:spPr bwMode="auto">
          <a:xfrm flipV="1">
            <a:off x="4668838" y="1374775"/>
            <a:ext cx="3175" cy="704850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47" name="Line 15"/>
          <xdr:cNvSpPr>
            <a:spLocks noChangeShapeType="1"/>
          </xdr:cNvSpPr>
        </xdr:nvSpPr>
        <xdr:spPr bwMode="auto">
          <a:xfrm flipH="1" flipV="1">
            <a:off x="3417888" y="2074863"/>
            <a:ext cx="1587" cy="102870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 type="stealth" w="med" len="med"/>
            <a:tailEnd type="none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48" name="Text Box 16"/>
          <xdr:cNvSpPr txBox="1">
            <a:spLocks noChangeArrowheads="1"/>
          </xdr:cNvSpPr>
        </xdr:nvSpPr>
        <xdr:spPr bwMode="auto">
          <a:xfrm>
            <a:off x="3275013" y="1724025"/>
            <a:ext cx="503237" cy="369888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800" b="1">
                <a:effectLst>
                  <a:outerShdw blurRad="38100" dist="38100" dir="2700000" algn="tl">
                    <a:srgbClr val="C0C0C0"/>
                  </a:outerShdw>
                </a:effectLst>
                <a:latin typeface="+mn-lt"/>
              </a:rPr>
              <a:t>0</a:t>
            </a:r>
          </a:p>
        </xdr:txBody>
      </xdr:sp>
      <xdr:sp macro="" textlink="">
        <xdr:nvSpPr>
          <xdr:cNvPr id="49" name="Line 17"/>
          <xdr:cNvSpPr>
            <a:spLocks noChangeShapeType="1"/>
          </xdr:cNvSpPr>
        </xdr:nvSpPr>
        <xdr:spPr bwMode="auto">
          <a:xfrm flipH="1" flipV="1">
            <a:off x="5478463" y="1428750"/>
            <a:ext cx="1587" cy="704850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headEnd/>
            <a:tailEnd type="stealth" w="med" len="lg"/>
          </a:ln>
          <a:effectLst/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defRPr/>
            </a:pPr>
            <a:endParaRPr lang="pt-BR" sz="1800">
              <a:latin typeface="+mn-lt"/>
            </a:endParaRPr>
          </a:p>
        </xdr:txBody>
      </xdr:sp>
      <xdr:sp macro="" textlink="">
        <xdr:nvSpPr>
          <xdr:cNvPr id="50" name="Text Box 19"/>
          <xdr:cNvSpPr txBox="1">
            <a:spLocks noChangeArrowheads="1"/>
          </xdr:cNvSpPr>
        </xdr:nvSpPr>
        <xdr:spPr bwMode="auto">
          <a:xfrm>
            <a:off x="4140200" y="1016000"/>
            <a:ext cx="1296988" cy="3381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25.000</a:t>
            </a:r>
          </a:p>
        </xdr:txBody>
      </xdr:sp>
      <xdr:sp macro="" textlink="">
        <xdr:nvSpPr>
          <xdr:cNvPr id="51" name="Text Box 20"/>
          <xdr:cNvSpPr txBox="1">
            <a:spLocks noChangeArrowheads="1"/>
          </xdr:cNvSpPr>
        </xdr:nvSpPr>
        <xdr:spPr bwMode="auto">
          <a:xfrm>
            <a:off x="2914650" y="3032125"/>
            <a:ext cx="1296988" cy="3381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100.000</a:t>
            </a:r>
          </a:p>
        </xdr:txBody>
      </xdr:sp>
      <xdr:sp macro="" textlink="">
        <xdr:nvSpPr>
          <xdr:cNvPr id="52" name="Text Box 21"/>
          <xdr:cNvSpPr txBox="1">
            <a:spLocks noChangeArrowheads="1"/>
          </xdr:cNvSpPr>
        </xdr:nvSpPr>
        <xdr:spPr bwMode="auto">
          <a:xfrm>
            <a:off x="3779838" y="2524125"/>
            <a:ext cx="2232025" cy="3381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>
                <a:latin typeface="+mn-lt"/>
              </a:rPr>
              <a:t>TMA = 20% a.a.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971551</xdr:colOff>
      <xdr:row>0</xdr:row>
      <xdr:rowOff>76200</xdr:rowOff>
    </xdr:from>
    <xdr:to>
      <xdr:col>8</xdr:col>
      <xdr:colOff>723901</xdr:colOff>
      <xdr:row>6</xdr:row>
      <xdr:rowOff>139700</xdr:rowOff>
    </xdr:to>
    <xdr:pic>
      <xdr:nvPicPr>
        <xdr:cNvPr id="2" name="Picture 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40214"/>
        <a:stretch/>
      </xdr:blipFill>
      <xdr:spPr bwMode="auto">
        <a:xfrm>
          <a:off x="3714751" y="76200"/>
          <a:ext cx="4800600" cy="149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8:L36"/>
  <sheetViews>
    <sheetView tabSelected="1" zoomScaleNormal="100" workbookViewId="0">
      <selection activeCell="L8" sqref="L8"/>
    </sheetView>
  </sheetViews>
  <sheetFormatPr defaultColWidth="9.140625" defaultRowHeight="18.75" x14ac:dyDescent="0.3"/>
  <cols>
    <col min="1" max="6" width="9.140625" style="2"/>
    <col min="7" max="7" width="18.28515625" style="2" bestFit="1" customWidth="1"/>
    <col min="8" max="10" width="9.140625" style="2"/>
    <col min="11" max="11" width="18.28515625" style="2" bestFit="1" customWidth="1"/>
    <col min="12" max="12" width="11.28515625" style="2" bestFit="1" customWidth="1"/>
    <col min="13" max="16384" width="9.140625" style="2"/>
  </cols>
  <sheetData>
    <row r="8" spans="6:12" x14ac:dyDescent="0.3">
      <c r="F8" s="3" t="s">
        <v>5</v>
      </c>
      <c r="G8" s="7">
        <v>0.12</v>
      </c>
      <c r="H8" s="2" t="s">
        <v>4</v>
      </c>
    </row>
    <row r="10" spans="6:12" x14ac:dyDescent="0.3">
      <c r="F10" s="9" t="s">
        <v>0</v>
      </c>
      <c r="G10" s="9" t="s">
        <v>1</v>
      </c>
      <c r="H10" s="3"/>
      <c r="I10" s="3"/>
      <c r="J10" s="9" t="s">
        <v>0</v>
      </c>
      <c r="K10" s="9" t="s">
        <v>1</v>
      </c>
      <c r="L10" s="3"/>
    </row>
    <row r="11" spans="6:12" x14ac:dyDescent="0.3">
      <c r="F11" s="9">
        <v>0</v>
      </c>
      <c r="G11" s="51">
        <v>-6000</v>
      </c>
      <c r="J11" s="9">
        <v>0</v>
      </c>
      <c r="K11" s="51">
        <v>-14000</v>
      </c>
    </row>
    <row r="12" spans="6:12" x14ac:dyDescent="0.3">
      <c r="F12" s="9">
        <v>1</v>
      </c>
      <c r="G12" s="51">
        <v>-4000</v>
      </c>
      <c r="J12" s="9">
        <v>1</v>
      </c>
      <c r="K12" s="51">
        <v>-2400</v>
      </c>
    </row>
    <row r="13" spans="6:12" x14ac:dyDescent="0.3">
      <c r="F13" s="9">
        <v>2</v>
      </c>
      <c r="G13" s="51">
        <v>-4000</v>
      </c>
      <c r="J13" s="9">
        <v>2</v>
      </c>
      <c r="K13" s="51">
        <v>-2400</v>
      </c>
    </row>
    <row r="14" spans="6:12" x14ac:dyDescent="0.3">
      <c r="F14" s="9">
        <v>3</v>
      </c>
      <c r="G14" s="51">
        <v>-4000</v>
      </c>
      <c r="J14" s="9">
        <v>3</v>
      </c>
      <c r="K14" s="51">
        <v>-2400</v>
      </c>
    </row>
    <row r="15" spans="6:12" x14ac:dyDescent="0.3">
      <c r="F15" s="9">
        <v>4</v>
      </c>
      <c r="G15" s="51">
        <v>-4000</v>
      </c>
      <c r="J15" s="9">
        <v>4</v>
      </c>
      <c r="K15" s="51">
        <v>-2400</v>
      </c>
    </row>
    <row r="16" spans="6:12" x14ac:dyDescent="0.3">
      <c r="F16" s="9">
        <v>5</v>
      </c>
      <c r="G16" s="51">
        <v>-4000</v>
      </c>
      <c r="J16" s="9">
        <v>5</v>
      </c>
      <c r="K16" s="51">
        <v>-2400</v>
      </c>
    </row>
    <row r="17" spans="6:12" x14ac:dyDescent="0.3">
      <c r="F17" s="9">
        <v>6</v>
      </c>
      <c r="G17" s="51">
        <v>-4000</v>
      </c>
      <c r="J17" s="9">
        <v>6</v>
      </c>
      <c r="K17" s="51">
        <v>-2400</v>
      </c>
    </row>
    <row r="18" spans="6:12" x14ac:dyDescent="0.3">
      <c r="F18" s="9">
        <v>7</v>
      </c>
      <c r="G18" s="51">
        <v>-4000</v>
      </c>
      <c r="J18" s="9">
        <v>7</v>
      </c>
      <c r="K18" s="51">
        <v>-2400</v>
      </c>
    </row>
    <row r="19" spans="6:12" x14ac:dyDescent="0.3">
      <c r="F19" s="9">
        <v>8</v>
      </c>
      <c r="G19" s="51">
        <v>-4000</v>
      </c>
      <c r="J19" s="9">
        <v>8</v>
      </c>
      <c r="K19" s="51">
        <v>-2400</v>
      </c>
    </row>
    <row r="20" spans="6:12" x14ac:dyDescent="0.3">
      <c r="F20" s="9">
        <v>9</v>
      </c>
      <c r="G20" s="51">
        <v>-4000</v>
      </c>
      <c r="J20" s="9">
        <v>9</v>
      </c>
      <c r="K20" s="51">
        <v>-2400</v>
      </c>
    </row>
    <row r="21" spans="6:12" x14ac:dyDescent="0.3">
      <c r="F21" s="9">
        <v>10</v>
      </c>
      <c r="G21" s="51">
        <v>-4000</v>
      </c>
      <c r="J21" s="9">
        <v>10</v>
      </c>
      <c r="K21" s="51">
        <v>-2400</v>
      </c>
    </row>
    <row r="22" spans="6:12" x14ac:dyDescent="0.3">
      <c r="F22" s="9">
        <v>11</v>
      </c>
      <c r="G22" s="51">
        <v>-4000</v>
      </c>
      <c r="J22" s="9">
        <v>11</v>
      </c>
      <c r="K22" s="51">
        <v>-2400</v>
      </c>
    </row>
    <row r="23" spans="6:12" x14ac:dyDescent="0.3">
      <c r="F23" s="9">
        <v>12</v>
      </c>
      <c r="G23" s="51">
        <v>-4000</v>
      </c>
      <c r="J23" s="9">
        <v>12</v>
      </c>
      <c r="K23" s="51">
        <v>-2400</v>
      </c>
    </row>
    <row r="24" spans="6:12" x14ac:dyDescent="0.3">
      <c r="J24" s="9">
        <v>13</v>
      </c>
      <c r="K24" s="51">
        <v>-2400</v>
      </c>
    </row>
    <row r="25" spans="6:12" x14ac:dyDescent="0.3">
      <c r="G25" s="4"/>
      <c r="J25" s="9">
        <v>14</v>
      </c>
      <c r="K25" s="51">
        <v>-2400</v>
      </c>
    </row>
    <row r="26" spans="6:12" x14ac:dyDescent="0.3">
      <c r="J26" s="9">
        <v>15</v>
      </c>
      <c r="K26" s="51">
        <v>-2400</v>
      </c>
    </row>
    <row r="27" spans="6:12" x14ac:dyDescent="0.3">
      <c r="J27" s="9">
        <v>16</v>
      </c>
      <c r="K27" s="51">
        <v>-2400</v>
      </c>
    </row>
    <row r="28" spans="6:12" x14ac:dyDescent="0.3">
      <c r="J28" s="9">
        <v>17</v>
      </c>
      <c r="K28" s="51">
        <v>-2400</v>
      </c>
    </row>
    <row r="29" spans="6:12" x14ac:dyDescent="0.3">
      <c r="J29" s="9">
        <v>18</v>
      </c>
      <c r="K29" s="54">
        <f>-2400+2800</f>
        <v>400</v>
      </c>
      <c r="L29" s="29"/>
    </row>
    <row r="31" spans="6:12" x14ac:dyDescent="0.3">
      <c r="F31" s="14" t="s">
        <v>2</v>
      </c>
      <c r="G31" s="20">
        <f>NPV(G8,G12:G23)+G11</f>
        <v>-30777.496901820348</v>
      </c>
      <c r="H31" s="57" t="s">
        <v>35</v>
      </c>
      <c r="J31" s="14" t="s">
        <v>2</v>
      </c>
      <c r="K31" s="20">
        <f>NPV(G8,K12:K29)+K11</f>
        <v>-31035.097345327471</v>
      </c>
    </row>
    <row r="32" spans="6:12" x14ac:dyDescent="0.3">
      <c r="F32" s="14" t="s">
        <v>3</v>
      </c>
      <c r="G32" s="17">
        <f>-PMT(G8,12,G31)</f>
        <v>-4968.6208455639717</v>
      </c>
      <c r="H32" s="6"/>
      <c r="J32" s="14" t="s">
        <v>3</v>
      </c>
      <c r="K32" s="17">
        <f>-PMT(G8,18,K31)</f>
        <v>-4280.8978881476742</v>
      </c>
      <c r="L32" s="56" t="s">
        <v>35</v>
      </c>
    </row>
    <row r="33" spans="6:11" x14ac:dyDescent="0.3">
      <c r="F33" s="14" t="s">
        <v>12</v>
      </c>
      <c r="G33" s="55" t="e">
        <f>IRR(G11:G23)</f>
        <v>#NUM!</v>
      </c>
      <c r="J33" s="14" t="s">
        <v>12</v>
      </c>
      <c r="K33" s="55" t="e">
        <f>IRR(K11:K29)</f>
        <v>#NUM!</v>
      </c>
    </row>
    <row r="36" spans="6:11" x14ac:dyDescent="0.3">
      <c r="F36" s="14" t="s">
        <v>3</v>
      </c>
      <c r="G36" s="61">
        <v>-4968.6208455639708</v>
      </c>
      <c r="J36" s="14" t="s">
        <v>3</v>
      </c>
      <c r="K36" s="61">
        <v>-4280.8978881476742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R65"/>
  <sheetViews>
    <sheetView topLeftCell="D1" zoomScaleNormal="100" workbookViewId="0">
      <selection activeCell="N52" sqref="N52"/>
    </sheetView>
  </sheetViews>
  <sheetFormatPr defaultColWidth="9.140625" defaultRowHeight="18.75" x14ac:dyDescent="0.3"/>
  <cols>
    <col min="1" max="6" width="9.140625" style="2"/>
    <col min="7" max="7" width="18.28515625" style="2" bestFit="1" customWidth="1"/>
    <col min="8" max="9" width="16.7109375" style="2" bestFit="1" customWidth="1"/>
    <col min="10" max="10" width="18.28515625" style="2" bestFit="1" customWidth="1"/>
    <col min="11" max="11" width="9.140625" style="2"/>
    <col min="12" max="12" width="11.28515625" style="2" customWidth="1"/>
    <col min="13" max="13" width="18.28515625" style="2" bestFit="1" customWidth="1"/>
    <col min="14" max="14" width="18.28515625" style="2" customWidth="1"/>
    <col min="15" max="15" width="18.28515625" style="2" bestFit="1" customWidth="1"/>
    <col min="16" max="16" width="14.28515625" style="2" customWidth="1"/>
    <col min="17" max="18" width="18.28515625" style="2" bestFit="1" customWidth="1"/>
    <col min="19" max="16384" width="9.140625" style="2"/>
  </cols>
  <sheetData>
    <row r="8" spans="6:18" x14ac:dyDescent="0.3">
      <c r="F8" s="9" t="s">
        <v>5</v>
      </c>
      <c r="G8" s="38">
        <v>0.12</v>
      </c>
      <c r="H8" s="39" t="s">
        <v>4</v>
      </c>
      <c r="L8" s="14" t="s">
        <v>6</v>
      </c>
      <c r="M8" s="14">
        <f>LCM(12,18)</f>
        <v>36</v>
      </c>
    </row>
    <row r="10" spans="6:18" x14ac:dyDescent="0.3">
      <c r="F10" s="9" t="s">
        <v>0</v>
      </c>
      <c r="G10" s="9" t="s">
        <v>28</v>
      </c>
      <c r="H10" s="9" t="s">
        <v>29</v>
      </c>
      <c r="I10" s="9" t="s">
        <v>30</v>
      </c>
      <c r="J10" s="9" t="s">
        <v>1</v>
      </c>
      <c r="L10" s="9" t="s">
        <v>0</v>
      </c>
      <c r="M10" s="9" t="s">
        <v>28</v>
      </c>
      <c r="N10" s="9" t="s">
        <v>29</v>
      </c>
      <c r="O10" s="9" t="s">
        <v>1</v>
      </c>
      <c r="Q10" s="35"/>
      <c r="R10" s="35"/>
    </row>
    <row r="11" spans="6:18" x14ac:dyDescent="0.3">
      <c r="F11" s="23">
        <v>0</v>
      </c>
      <c r="G11" s="51">
        <v>-6000</v>
      </c>
      <c r="H11" s="45"/>
      <c r="I11" s="45"/>
      <c r="J11" s="52">
        <f>G11+H11+I11</f>
        <v>-6000</v>
      </c>
      <c r="K11" s="45"/>
      <c r="L11" s="23">
        <v>0</v>
      </c>
      <c r="M11" s="51">
        <v>-14000</v>
      </c>
      <c r="N11" s="46"/>
      <c r="O11" s="60">
        <f>M11+N11</f>
        <v>-14000</v>
      </c>
      <c r="Q11" s="36"/>
      <c r="R11" s="37"/>
    </row>
    <row r="12" spans="6:18" x14ac:dyDescent="0.3">
      <c r="F12" s="23">
        <v>1</v>
      </c>
      <c r="G12" s="51">
        <v>-4000</v>
      </c>
      <c r="H12" s="45"/>
      <c r="I12" s="45"/>
      <c r="J12" s="52">
        <f t="shared" ref="J12:J47" si="0">G12+H12+I12</f>
        <v>-4000</v>
      </c>
      <c r="K12" s="45"/>
      <c r="L12" s="23">
        <v>1</v>
      </c>
      <c r="M12" s="51">
        <v>-2400</v>
      </c>
      <c r="N12" s="46"/>
      <c r="O12" s="60">
        <f t="shared" ref="O12:O46" si="1">M12+N12</f>
        <v>-2400</v>
      </c>
      <c r="Q12" s="36"/>
      <c r="R12" s="37"/>
    </row>
    <row r="13" spans="6:18" x14ac:dyDescent="0.3">
      <c r="F13" s="23">
        <v>2</v>
      </c>
      <c r="G13" s="51">
        <v>-4000</v>
      </c>
      <c r="H13" s="45"/>
      <c r="I13" s="45"/>
      <c r="J13" s="52">
        <f t="shared" si="0"/>
        <v>-4000</v>
      </c>
      <c r="K13" s="45"/>
      <c r="L13" s="23">
        <v>2</v>
      </c>
      <c r="M13" s="51">
        <v>-2400</v>
      </c>
      <c r="N13" s="46"/>
      <c r="O13" s="60">
        <f t="shared" si="1"/>
        <v>-2400</v>
      </c>
      <c r="Q13" s="36"/>
      <c r="R13" s="37"/>
    </row>
    <row r="14" spans="6:18" x14ac:dyDescent="0.3">
      <c r="F14" s="23">
        <v>3</v>
      </c>
      <c r="G14" s="51">
        <v>-4000</v>
      </c>
      <c r="H14" s="45"/>
      <c r="I14" s="45"/>
      <c r="J14" s="52">
        <f t="shared" si="0"/>
        <v>-4000</v>
      </c>
      <c r="K14" s="45"/>
      <c r="L14" s="23">
        <v>3</v>
      </c>
      <c r="M14" s="51">
        <v>-2400</v>
      </c>
      <c r="N14" s="46"/>
      <c r="O14" s="60">
        <f t="shared" si="1"/>
        <v>-2400</v>
      </c>
      <c r="Q14" s="36"/>
      <c r="R14" s="37"/>
    </row>
    <row r="15" spans="6:18" x14ac:dyDescent="0.3">
      <c r="F15" s="23">
        <v>4</v>
      </c>
      <c r="G15" s="51">
        <v>-4000</v>
      </c>
      <c r="H15" s="45"/>
      <c r="I15" s="45"/>
      <c r="J15" s="52">
        <f t="shared" si="0"/>
        <v>-4000</v>
      </c>
      <c r="K15" s="45"/>
      <c r="L15" s="23">
        <v>4</v>
      </c>
      <c r="M15" s="51">
        <v>-2400</v>
      </c>
      <c r="N15" s="46"/>
      <c r="O15" s="60">
        <f t="shared" si="1"/>
        <v>-2400</v>
      </c>
      <c r="Q15" s="36"/>
      <c r="R15" s="37"/>
    </row>
    <row r="16" spans="6:18" x14ac:dyDescent="0.3">
      <c r="F16" s="23">
        <v>5</v>
      </c>
      <c r="G16" s="51">
        <v>-4000</v>
      </c>
      <c r="H16" s="45"/>
      <c r="I16" s="45"/>
      <c r="J16" s="52">
        <f t="shared" si="0"/>
        <v>-4000</v>
      </c>
      <c r="K16" s="45"/>
      <c r="L16" s="23">
        <v>5</v>
      </c>
      <c r="M16" s="51">
        <v>-2400</v>
      </c>
      <c r="N16" s="46"/>
      <c r="O16" s="60">
        <f t="shared" si="1"/>
        <v>-2400</v>
      </c>
      <c r="Q16" s="36"/>
      <c r="R16" s="37"/>
    </row>
    <row r="17" spans="6:18" x14ac:dyDescent="0.3">
      <c r="F17" s="23">
        <v>6</v>
      </c>
      <c r="G17" s="51">
        <v>-4000</v>
      </c>
      <c r="H17" s="45"/>
      <c r="I17" s="45"/>
      <c r="J17" s="52">
        <f t="shared" si="0"/>
        <v>-4000</v>
      </c>
      <c r="K17" s="45"/>
      <c r="L17" s="23">
        <v>6</v>
      </c>
      <c r="M17" s="51">
        <v>-2400</v>
      </c>
      <c r="N17" s="46"/>
      <c r="O17" s="60">
        <f t="shared" si="1"/>
        <v>-2400</v>
      </c>
      <c r="Q17" s="36"/>
      <c r="R17" s="37"/>
    </row>
    <row r="18" spans="6:18" x14ac:dyDescent="0.3">
      <c r="F18" s="23">
        <v>7</v>
      </c>
      <c r="G18" s="51">
        <v>-4000</v>
      </c>
      <c r="H18" s="45"/>
      <c r="I18" s="45"/>
      <c r="J18" s="52">
        <f t="shared" si="0"/>
        <v>-4000</v>
      </c>
      <c r="K18" s="45"/>
      <c r="L18" s="23">
        <v>7</v>
      </c>
      <c r="M18" s="51">
        <v>-2400</v>
      </c>
      <c r="N18" s="46"/>
      <c r="O18" s="60">
        <f t="shared" si="1"/>
        <v>-2400</v>
      </c>
      <c r="Q18" s="36"/>
      <c r="R18" s="37"/>
    </row>
    <row r="19" spans="6:18" x14ac:dyDescent="0.3">
      <c r="F19" s="23">
        <v>8</v>
      </c>
      <c r="G19" s="51">
        <v>-4000</v>
      </c>
      <c r="H19" s="45"/>
      <c r="I19" s="45"/>
      <c r="J19" s="52">
        <f t="shared" si="0"/>
        <v>-4000</v>
      </c>
      <c r="K19" s="45"/>
      <c r="L19" s="23">
        <v>8</v>
      </c>
      <c r="M19" s="51">
        <v>-2400</v>
      </c>
      <c r="N19" s="46"/>
      <c r="O19" s="60">
        <f t="shared" si="1"/>
        <v>-2400</v>
      </c>
      <c r="Q19" s="36"/>
      <c r="R19" s="37"/>
    </row>
    <row r="20" spans="6:18" x14ac:dyDescent="0.3">
      <c r="F20" s="23">
        <v>9</v>
      </c>
      <c r="G20" s="51">
        <v>-4000</v>
      </c>
      <c r="H20" s="45"/>
      <c r="I20" s="45"/>
      <c r="J20" s="52">
        <f t="shared" si="0"/>
        <v>-4000</v>
      </c>
      <c r="K20" s="45"/>
      <c r="L20" s="23">
        <v>9</v>
      </c>
      <c r="M20" s="51">
        <v>-2400</v>
      </c>
      <c r="N20" s="46"/>
      <c r="O20" s="60">
        <f t="shared" si="1"/>
        <v>-2400</v>
      </c>
      <c r="Q20" s="36"/>
      <c r="R20" s="37"/>
    </row>
    <row r="21" spans="6:18" x14ac:dyDescent="0.3">
      <c r="F21" s="23">
        <v>10</v>
      </c>
      <c r="G21" s="51">
        <v>-4000</v>
      </c>
      <c r="H21" s="45"/>
      <c r="I21" s="45"/>
      <c r="J21" s="52">
        <f t="shared" si="0"/>
        <v>-4000</v>
      </c>
      <c r="K21" s="45"/>
      <c r="L21" s="23">
        <v>10</v>
      </c>
      <c r="M21" s="51">
        <v>-2400</v>
      </c>
      <c r="N21" s="46"/>
      <c r="O21" s="60">
        <f t="shared" si="1"/>
        <v>-2400</v>
      </c>
      <c r="Q21" s="36"/>
      <c r="R21" s="37"/>
    </row>
    <row r="22" spans="6:18" x14ac:dyDescent="0.3">
      <c r="F22" s="23">
        <v>11</v>
      </c>
      <c r="G22" s="51">
        <v>-4000</v>
      </c>
      <c r="H22" s="45"/>
      <c r="I22" s="45"/>
      <c r="J22" s="52">
        <f t="shared" si="0"/>
        <v>-4000</v>
      </c>
      <c r="K22" s="45"/>
      <c r="L22" s="23">
        <v>11</v>
      </c>
      <c r="M22" s="51">
        <v>-2400</v>
      </c>
      <c r="N22" s="46"/>
      <c r="O22" s="60">
        <f t="shared" si="1"/>
        <v>-2400</v>
      </c>
      <c r="Q22" s="36"/>
      <c r="R22" s="37"/>
    </row>
    <row r="23" spans="6:18" x14ac:dyDescent="0.3">
      <c r="F23" s="23">
        <v>12</v>
      </c>
      <c r="G23" s="51">
        <v>-4000</v>
      </c>
      <c r="H23" s="51">
        <v>-6000</v>
      </c>
      <c r="I23" s="45"/>
      <c r="J23" s="52">
        <f>G23+H23+I23</f>
        <v>-10000</v>
      </c>
      <c r="K23" s="45"/>
      <c r="L23" s="23">
        <v>12</v>
      </c>
      <c r="M23" s="51">
        <v>-2400</v>
      </c>
      <c r="N23" s="46"/>
      <c r="O23" s="60">
        <f t="shared" si="1"/>
        <v>-2400</v>
      </c>
      <c r="Q23" s="36"/>
      <c r="R23" s="37"/>
    </row>
    <row r="24" spans="6:18" x14ac:dyDescent="0.3">
      <c r="F24" s="23">
        <v>13</v>
      </c>
      <c r="G24" s="47"/>
      <c r="H24" s="51">
        <v>-4000</v>
      </c>
      <c r="I24" s="45"/>
      <c r="J24" s="52">
        <f t="shared" si="0"/>
        <v>-4000</v>
      </c>
      <c r="K24" s="45"/>
      <c r="L24" s="23">
        <v>13</v>
      </c>
      <c r="M24" s="51">
        <v>-2400</v>
      </c>
      <c r="N24" s="46"/>
      <c r="O24" s="60">
        <f t="shared" si="1"/>
        <v>-2400</v>
      </c>
      <c r="Q24" s="36"/>
      <c r="R24" s="37"/>
    </row>
    <row r="25" spans="6:18" x14ac:dyDescent="0.3">
      <c r="F25" s="23">
        <v>14</v>
      </c>
      <c r="G25" s="47"/>
      <c r="H25" s="51">
        <v>-4000</v>
      </c>
      <c r="I25" s="45"/>
      <c r="J25" s="52">
        <f t="shared" si="0"/>
        <v>-4000</v>
      </c>
      <c r="K25" s="45"/>
      <c r="L25" s="23">
        <v>14</v>
      </c>
      <c r="M25" s="51">
        <v>-2400</v>
      </c>
      <c r="N25" s="46"/>
      <c r="O25" s="60">
        <f t="shared" si="1"/>
        <v>-2400</v>
      </c>
      <c r="Q25" s="36"/>
      <c r="R25" s="37"/>
    </row>
    <row r="26" spans="6:18" x14ac:dyDescent="0.3">
      <c r="F26" s="23">
        <v>15</v>
      </c>
      <c r="G26" s="47"/>
      <c r="H26" s="51">
        <v>-4000</v>
      </c>
      <c r="I26" s="45"/>
      <c r="J26" s="52">
        <f t="shared" si="0"/>
        <v>-4000</v>
      </c>
      <c r="K26" s="45"/>
      <c r="L26" s="23">
        <v>15</v>
      </c>
      <c r="M26" s="51">
        <v>-2400</v>
      </c>
      <c r="N26" s="46"/>
      <c r="O26" s="60">
        <f t="shared" si="1"/>
        <v>-2400</v>
      </c>
      <c r="Q26" s="36"/>
      <c r="R26" s="37"/>
    </row>
    <row r="27" spans="6:18" x14ac:dyDescent="0.3">
      <c r="F27" s="23">
        <v>16</v>
      </c>
      <c r="G27" s="47"/>
      <c r="H27" s="51">
        <v>-4000</v>
      </c>
      <c r="I27" s="45"/>
      <c r="J27" s="52">
        <f t="shared" si="0"/>
        <v>-4000</v>
      </c>
      <c r="K27" s="45"/>
      <c r="L27" s="23">
        <v>16</v>
      </c>
      <c r="M27" s="51">
        <v>-2400</v>
      </c>
      <c r="N27" s="46"/>
      <c r="O27" s="60">
        <f t="shared" si="1"/>
        <v>-2400</v>
      </c>
      <c r="Q27" s="36"/>
      <c r="R27" s="37"/>
    </row>
    <row r="28" spans="6:18" x14ac:dyDescent="0.3">
      <c r="F28" s="23">
        <v>17</v>
      </c>
      <c r="G28" s="47"/>
      <c r="H28" s="51">
        <v>-4000</v>
      </c>
      <c r="I28" s="45"/>
      <c r="J28" s="52">
        <f t="shared" si="0"/>
        <v>-4000</v>
      </c>
      <c r="K28" s="45"/>
      <c r="L28" s="23">
        <v>17</v>
      </c>
      <c r="M28" s="51">
        <v>-2400</v>
      </c>
      <c r="N28" s="46"/>
      <c r="O28" s="60">
        <f t="shared" si="1"/>
        <v>-2400</v>
      </c>
      <c r="Q28" s="36"/>
      <c r="R28" s="37"/>
    </row>
    <row r="29" spans="6:18" x14ac:dyDescent="0.3">
      <c r="F29" s="23">
        <v>18</v>
      </c>
      <c r="G29" s="47"/>
      <c r="H29" s="51">
        <v>-4000</v>
      </c>
      <c r="I29" s="45"/>
      <c r="J29" s="52">
        <f t="shared" si="0"/>
        <v>-4000</v>
      </c>
      <c r="K29" s="45"/>
      <c r="L29" s="23">
        <v>18</v>
      </c>
      <c r="M29" s="54">
        <f>-2400+2800</f>
        <v>400</v>
      </c>
      <c r="N29" s="58">
        <v>-14000</v>
      </c>
      <c r="O29" s="60">
        <f>M29+N29</f>
        <v>-13600</v>
      </c>
      <c r="Q29" s="36"/>
      <c r="R29" s="37"/>
    </row>
    <row r="30" spans="6:18" x14ac:dyDescent="0.3">
      <c r="F30" s="23">
        <v>19</v>
      </c>
      <c r="G30" s="47"/>
      <c r="H30" s="51">
        <v>-4000</v>
      </c>
      <c r="I30" s="45"/>
      <c r="J30" s="52">
        <f t="shared" si="0"/>
        <v>-4000</v>
      </c>
      <c r="K30" s="45"/>
      <c r="L30" s="23">
        <v>19</v>
      </c>
      <c r="M30" s="45"/>
      <c r="N30" s="58">
        <v>-2400</v>
      </c>
      <c r="O30" s="60">
        <f t="shared" si="1"/>
        <v>-2400</v>
      </c>
      <c r="Q30" s="36"/>
      <c r="R30" s="37"/>
    </row>
    <row r="31" spans="6:18" x14ac:dyDescent="0.3">
      <c r="F31" s="23">
        <v>20</v>
      </c>
      <c r="G31" s="47"/>
      <c r="H31" s="51">
        <v>-4000</v>
      </c>
      <c r="I31" s="45"/>
      <c r="J31" s="52">
        <f t="shared" si="0"/>
        <v>-4000</v>
      </c>
      <c r="K31" s="45"/>
      <c r="L31" s="23">
        <v>20</v>
      </c>
      <c r="M31" s="45"/>
      <c r="N31" s="58">
        <v>-2400</v>
      </c>
      <c r="O31" s="60">
        <f t="shared" si="1"/>
        <v>-2400</v>
      </c>
      <c r="Q31" s="36"/>
      <c r="R31" s="37"/>
    </row>
    <row r="32" spans="6:18" x14ac:dyDescent="0.3">
      <c r="F32" s="23">
        <v>21</v>
      </c>
      <c r="G32" s="47"/>
      <c r="H32" s="51">
        <v>-4000</v>
      </c>
      <c r="I32" s="45"/>
      <c r="J32" s="52">
        <f t="shared" si="0"/>
        <v>-4000</v>
      </c>
      <c r="K32" s="45"/>
      <c r="L32" s="23">
        <v>21</v>
      </c>
      <c r="M32" s="45"/>
      <c r="N32" s="58">
        <v>-2400</v>
      </c>
      <c r="O32" s="60">
        <f t="shared" si="1"/>
        <v>-2400</v>
      </c>
      <c r="Q32" s="36"/>
      <c r="R32" s="37"/>
    </row>
    <row r="33" spans="6:18" x14ac:dyDescent="0.3">
      <c r="F33" s="23">
        <v>22</v>
      </c>
      <c r="G33" s="47"/>
      <c r="H33" s="51">
        <v>-4000</v>
      </c>
      <c r="I33" s="45"/>
      <c r="J33" s="52">
        <f t="shared" si="0"/>
        <v>-4000</v>
      </c>
      <c r="K33" s="45"/>
      <c r="L33" s="23">
        <v>22</v>
      </c>
      <c r="M33" s="45"/>
      <c r="N33" s="58">
        <v>-2400</v>
      </c>
      <c r="O33" s="60">
        <f t="shared" si="1"/>
        <v>-2400</v>
      </c>
      <c r="Q33" s="36"/>
      <c r="R33" s="37"/>
    </row>
    <row r="34" spans="6:18" x14ac:dyDescent="0.3">
      <c r="F34" s="23">
        <v>23</v>
      </c>
      <c r="G34" s="47"/>
      <c r="H34" s="51">
        <v>-4000</v>
      </c>
      <c r="I34" s="45"/>
      <c r="J34" s="52">
        <f t="shared" si="0"/>
        <v>-4000</v>
      </c>
      <c r="K34" s="45"/>
      <c r="L34" s="23">
        <v>23</v>
      </c>
      <c r="M34" s="45"/>
      <c r="N34" s="58">
        <v>-2400</v>
      </c>
      <c r="O34" s="60">
        <f t="shared" si="1"/>
        <v>-2400</v>
      </c>
      <c r="Q34" s="36"/>
      <c r="R34" s="37"/>
    </row>
    <row r="35" spans="6:18" x14ac:dyDescent="0.3">
      <c r="F35" s="23">
        <v>24</v>
      </c>
      <c r="G35" s="47"/>
      <c r="H35" s="51">
        <v>-4000</v>
      </c>
      <c r="I35" s="58">
        <v>-6000</v>
      </c>
      <c r="J35" s="52">
        <f>G35+H35+I35</f>
        <v>-10000</v>
      </c>
      <c r="K35" s="45"/>
      <c r="L35" s="23">
        <v>24</v>
      </c>
      <c r="M35" s="45"/>
      <c r="N35" s="58">
        <v>-2400</v>
      </c>
      <c r="O35" s="60">
        <f t="shared" si="1"/>
        <v>-2400</v>
      </c>
      <c r="Q35" s="36"/>
      <c r="R35" s="37"/>
    </row>
    <row r="36" spans="6:18" x14ac:dyDescent="0.3">
      <c r="F36" s="23">
        <v>25</v>
      </c>
      <c r="G36" s="47"/>
      <c r="H36" s="45"/>
      <c r="I36" s="58">
        <v>-4000</v>
      </c>
      <c r="J36" s="52">
        <f t="shared" si="0"/>
        <v>-4000</v>
      </c>
      <c r="K36" s="45"/>
      <c r="L36" s="23">
        <v>25</v>
      </c>
      <c r="M36" s="45"/>
      <c r="N36" s="58">
        <v>-2400</v>
      </c>
      <c r="O36" s="60">
        <f t="shared" si="1"/>
        <v>-2400</v>
      </c>
      <c r="Q36" s="36"/>
      <c r="R36" s="37"/>
    </row>
    <row r="37" spans="6:18" x14ac:dyDescent="0.3">
      <c r="F37" s="23">
        <v>26</v>
      </c>
      <c r="G37" s="47"/>
      <c r="H37" s="45"/>
      <c r="I37" s="58">
        <v>-4000</v>
      </c>
      <c r="J37" s="52">
        <f t="shared" si="0"/>
        <v>-4000</v>
      </c>
      <c r="K37" s="45"/>
      <c r="L37" s="23">
        <v>26</v>
      </c>
      <c r="M37" s="45"/>
      <c r="N37" s="58">
        <v>-2400</v>
      </c>
      <c r="O37" s="60">
        <f t="shared" si="1"/>
        <v>-2400</v>
      </c>
      <c r="Q37" s="36"/>
      <c r="R37" s="37"/>
    </row>
    <row r="38" spans="6:18" x14ac:dyDescent="0.3">
      <c r="F38" s="23">
        <v>27</v>
      </c>
      <c r="G38" s="47"/>
      <c r="H38" s="45"/>
      <c r="I38" s="58">
        <v>-4000</v>
      </c>
      <c r="J38" s="52">
        <f t="shared" si="0"/>
        <v>-4000</v>
      </c>
      <c r="K38" s="45"/>
      <c r="L38" s="23">
        <v>27</v>
      </c>
      <c r="M38" s="45"/>
      <c r="N38" s="58">
        <v>-2400</v>
      </c>
      <c r="O38" s="60">
        <f t="shared" si="1"/>
        <v>-2400</v>
      </c>
      <c r="Q38" s="36"/>
      <c r="R38" s="37"/>
    </row>
    <row r="39" spans="6:18" x14ac:dyDescent="0.3">
      <c r="F39" s="23">
        <v>28</v>
      </c>
      <c r="G39" s="47"/>
      <c r="H39" s="45"/>
      <c r="I39" s="58">
        <v>-4000</v>
      </c>
      <c r="J39" s="52">
        <f t="shared" si="0"/>
        <v>-4000</v>
      </c>
      <c r="K39" s="45"/>
      <c r="L39" s="23">
        <v>28</v>
      </c>
      <c r="M39" s="45"/>
      <c r="N39" s="58">
        <v>-2400</v>
      </c>
      <c r="O39" s="60">
        <f t="shared" si="1"/>
        <v>-2400</v>
      </c>
      <c r="Q39" s="36"/>
      <c r="R39" s="37"/>
    </row>
    <row r="40" spans="6:18" x14ac:dyDescent="0.3">
      <c r="F40" s="23">
        <v>29</v>
      </c>
      <c r="G40" s="47"/>
      <c r="H40" s="45"/>
      <c r="I40" s="58">
        <v>-4000</v>
      </c>
      <c r="J40" s="52">
        <f t="shared" si="0"/>
        <v>-4000</v>
      </c>
      <c r="K40" s="45"/>
      <c r="L40" s="23">
        <v>29</v>
      </c>
      <c r="M40" s="45"/>
      <c r="N40" s="58">
        <v>-2400</v>
      </c>
      <c r="O40" s="60">
        <f t="shared" si="1"/>
        <v>-2400</v>
      </c>
      <c r="Q40" s="36"/>
      <c r="R40" s="37"/>
    </row>
    <row r="41" spans="6:18" x14ac:dyDescent="0.3">
      <c r="F41" s="23">
        <v>30</v>
      </c>
      <c r="G41" s="47"/>
      <c r="H41" s="45"/>
      <c r="I41" s="58">
        <v>-4000</v>
      </c>
      <c r="J41" s="52">
        <f t="shared" si="0"/>
        <v>-4000</v>
      </c>
      <c r="K41" s="45"/>
      <c r="L41" s="23">
        <v>30</v>
      </c>
      <c r="M41" s="45"/>
      <c r="N41" s="58">
        <v>-2400</v>
      </c>
      <c r="O41" s="60">
        <f t="shared" si="1"/>
        <v>-2400</v>
      </c>
      <c r="Q41" s="36"/>
      <c r="R41" s="37"/>
    </row>
    <row r="42" spans="6:18" x14ac:dyDescent="0.3">
      <c r="F42" s="23">
        <v>31</v>
      </c>
      <c r="G42" s="47"/>
      <c r="H42" s="45"/>
      <c r="I42" s="58">
        <v>-4000</v>
      </c>
      <c r="J42" s="52">
        <f t="shared" si="0"/>
        <v>-4000</v>
      </c>
      <c r="K42" s="45"/>
      <c r="L42" s="23">
        <v>31</v>
      </c>
      <c r="M42" s="45"/>
      <c r="N42" s="58">
        <v>-2400</v>
      </c>
      <c r="O42" s="60">
        <f t="shared" si="1"/>
        <v>-2400</v>
      </c>
      <c r="Q42" s="36"/>
      <c r="R42" s="37"/>
    </row>
    <row r="43" spans="6:18" x14ac:dyDescent="0.3">
      <c r="F43" s="23">
        <v>32</v>
      </c>
      <c r="G43" s="47"/>
      <c r="H43" s="45"/>
      <c r="I43" s="58">
        <v>-4000</v>
      </c>
      <c r="J43" s="52">
        <f t="shared" si="0"/>
        <v>-4000</v>
      </c>
      <c r="K43" s="45"/>
      <c r="L43" s="23">
        <v>32</v>
      </c>
      <c r="M43" s="45"/>
      <c r="N43" s="58">
        <v>-2400</v>
      </c>
      <c r="O43" s="60">
        <f t="shared" si="1"/>
        <v>-2400</v>
      </c>
      <c r="Q43" s="36"/>
      <c r="R43" s="37"/>
    </row>
    <row r="44" spans="6:18" x14ac:dyDescent="0.3">
      <c r="F44" s="23">
        <v>33</v>
      </c>
      <c r="G44" s="47"/>
      <c r="H44" s="45"/>
      <c r="I44" s="58">
        <v>-4000</v>
      </c>
      <c r="J44" s="52">
        <f t="shared" si="0"/>
        <v>-4000</v>
      </c>
      <c r="K44" s="45"/>
      <c r="L44" s="23">
        <v>33</v>
      </c>
      <c r="M44" s="45"/>
      <c r="N44" s="58">
        <v>-2400</v>
      </c>
      <c r="O44" s="60">
        <f t="shared" si="1"/>
        <v>-2400</v>
      </c>
      <c r="Q44" s="36"/>
      <c r="R44" s="37"/>
    </row>
    <row r="45" spans="6:18" x14ac:dyDescent="0.3">
      <c r="F45" s="23">
        <v>34</v>
      </c>
      <c r="G45" s="47"/>
      <c r="H45" s="45"/>
      <c r="I45" s="58">
        <v>-4000</v>
      </c>
      <c r="J45" s="52">
        <f t="shared" si="0"/>
        <v>-4000</v>
      </c>
      <c r="K45" s="45"/>
      <c r="L45" s="23">
        <v>34</v>
      </c>
      <c r="M45" s="45"/>
      <c r="N45" s="58">
        <v>-2400</v>
      </c>
      <c r="O45" s="60">
        <f t="shared" si="1"/>
        <v>-2400</v>
      </c>
      <c r="Q45" s="36"/>
      <c r="R45" s="37"/>
    </row>
    <row r="46" spans="6:18" x14ac:dyDescent="0.3">
      <c r="F46" s="23">
        <v>35</v>
      </c>
      <c r="G46" s="47"/>
      <c r="H46" s="45"/>
      <c r="I46" s="58">
        <v>-4000</v>
      </c>
      <c r="J46" s="52">
        <f t="shared" si="0"/>
        <v>-4000</v>
      </c>
      <c r="K46" s="45"/>
      <c r="L46" s="23">
        <v>35</v>
      </c>
      <c r="M46" s="45"/>
      <c r="N46" s="58">
        <v>-2400</v>
      </c>
      <c r="O46" s="60">
        <f t="shared" si="1"/>
        <v>-2400</v>
      </c>
      <c r="Q46" s="36"/>
      <c r="R46" s="37"/>
    </row>
    <row r="47" spans="6:18" x14ac:dyDescent="0.3">
      <c r="F47" s="23">
        <v>36</v>
      </c>
      <c r="G47" s="47"/>
      <c r="H47" s="45"/>
      <c r="I47" s="58">
        <v>-4000</v>
      </c>
      <c r="J47" s="52">
        <f t="shared" si="0"/>
        <v>-4000</v>
      </c>
      <c r="K47" s="45"/>
      <c r="L47" s="23">
        <v>36</v>
      </c>
      <c r="M47" s="45"/>
      <c r="N47" s="59">
        <f>-2400+2800</f>
        <v>400</v>
      </c>
      <c r="O47" s="60">
        <f>M47+N47</f>
        <v>400</v>
      </c>
      <c r="Q47" s="36"/>
      <c r="R47" s="37"/>
    </row>
    <row r="49" spans="2:18" x14ac:dyDescent="0.3">
      <c r="I49" s="14" t="s">
        <v>2</v>
      </c>
      <c r="J49" s="17">
        <f>NPV(G8,J12:J47)+J11</f>
        <v>-40705.000011108335</v>
      </c>
      <c r="N49" s="14" t="s">
        <v>2</v>
      </c>
      <c r="O49" s="17">
        <f>NPV(G8,O12:O47)+O11</f>
        <v>-35070.888683361743</v>
      </c>
      <c r="P49" s="56" t="s">
        <v>35</v>
      </c>
      <c r="R49" s="30"/>
    </row>
    <row r="50" spans="2:18" x14ac:dyDescent="0.3">
      <c r="I50" s="14" t="s">
        <v>3</v>
      </c>
      <c r="J50" s="17">
        <f>-PMT(G8,36,J49)</f>
        <v>-4968.6208455639708</v>
      </c>
      <c r="N50" s="14" t="s">
        <v>3</v>
      </c>
      <c r="O50" s="17">
        <f>-PMT(12%,36,O49)</f>
        <v>-4280.8978881476742</v>
      </c>
      <c r="P50" s="56" t="s">
        <v>35</v>
      </c>
      <c r="R50" s="29"/>
    </row>
    <row r="53" spans="2:18" x14ac:dyDescent="0.3">
      <c r="B53" s="72" t="s">
        <v>7</v>
      </c>
      <c r="C53" s="72"/>
      <c r="D53" s="72"/>
      <c r="E53" s="72"/>
      <c r="F53" s="72"/>
      <c r="G53" s="72"/>
      <c r="H53" s="72"/>
      <c r="I53" s="72"/>
      <c r="J53" s="40"/>
    </row>
    <row r="65" spans="2:10" x14ac:dyDescent="0.3">
      <c r="B65" s="72" t="s">
        <v>8</v>
      </c>
      <c r="C65" s="72"/>
      <c r="D65" s="72"/>
      <c r="E65" s="72"/>
      <c r="F65" s="72"/>
      <c r="G65" s="72"/>
      <c r="H65" s="72"/>
      <c r="I65" s="72"/>
      <c r="J65" s="40"/>
    </row>
  </sheetData>
  <mergeCells count="2">
    <mergeCell ref="B53:I53"/>
    <mergeCell ref="B65:I6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24"/>
  <sheetViews>
    <sheetView zoomScale="120" zoomScaleNormal="120" workbookViewId="0">
      <selection activeCell="C26" sqref="C26"/>
    </sheetView>
  </sheetViews>
  <sheetFormatPr defaultColWidth="9.140625" defaultRowHeight="18.75" x14ac:dyDescent="0.3"/>
  <cols>
    <col min="1" max="6" width="9.140625" style="1"/>
    <col min="7" max="7" width="9.140625" style="48"/>
    <col min="8" max="8" width="18.140625" style="1" bestFit="1" customWidth="1"/>
    <col min="9" max="10" width="9.140625" style="1"/>
    <col min="11" max="11" width="9.140625" style="48"/>
    <col min="12" max="12" width="18.140625" style="1" bestFit="1" customWidth="1"/>
    <col min="13" max="13" width="9.140625" style="1"/>
    <col min="14" max="14" width="13.5703125" style="1" bestFit="1" customWidth="1"/>
    <col min="15" max="16384" width="9.140625" style="1"/>
  </cols>
  <sheetData>
    <row r="4" spans="7:12" x14ac:dyDescent="0.3">
      <c r="G4" s="9" t="s">
        <v>0</v>
      </c>
      <c r="H4" s="9" t="s">
        <v>1</v>
      </c>
      <c r="K4" s="9" t="s">
        <v>0</v>
      </c>
      <c r="L4" s="9" t="s">
        <v>1</v>
      </c>
    </row>
    <row r="5" spans="7:12" x14ac:dyDescent="0.3">
      <c r="G5" s="9">
        <v>0</v>
      </c>
      <c r="H5" s="15">
        <v>1600</v>
      </c>
      <c r="K5" s="9">
        <v>0</v>
      </c>
      <c r="L5" s="50">
        <v>0</v>
      </c>
    </row>
    <row r="6" spans="7:12" x14ac:dyDescent="0.3">
      <c r="G6" s="9">
        <v>1</v>
      </c>
      <c r="H6" s="61">
        <v>-10000</v>
      </c>
      <c r="K6" s="9">
        <v>1</v>
      </c>
      <c r="L6" s="65">
        <f>-FV(20%,1,,1600)-10000</f>
        <v>-8080</v>
      </c>
    </row>
    <row r="7" spans="7:12" x14ac:dyDescent="0.3">
      <c r="G7" s="9">
        <v>2</v>
      </c>
      <c r="H7" s="15">
        <v>10000</v>
      </c>
      <c r="K7" s="9">
        <v>2</v>
      </c>
      <c r="L7" s="11">
        <v>10000</v>
      </c>
    </row>
    <row r="8" spans="7:12" x14ac:dyDescent="0.3">
      <c r="G8" s="40"/>
      <c r="H8" s="2"/>
      <c r="L8" s="3"/>
    </row>
    <row r="9" spans="7:12" x14ac:dyDescent="0.3">
      <c r="G9" s="9" t="s">
        <v>2</v>
      </c>
      <c r="H9" s="62">
        <f>NPV(20%,H6:H7)+H5</f>
        <v>211.11111111111154</v>
      </c>
      <c r="K9" s="9" t="s">
        <v>12</v>
      </c>
      <c r="L9" s="64">
        <f>IRR(L5:L7)</f>
        <v>0.23762376237623761</v>
      </c>
    </row>
    <row r="11" spans="7:12" x14ac:dyDescent="0.3">
      <c r="G11" s="9" t="s">
        <v>9</v>
      </c>
      <c r="H11" s="63">
        <f>IRR(H5:H7)</f>
        <v>0.25000000000000022</v>
      </c>
    </row>
    <row r="12" spans="7:12" x14ac:dyDescent="0.3">
      <c r="G12" s="9" t="s">
        <v>10</v>
      </c>
      <c r="H12" s="63">
        <f>IRR(H5:H7,1)</f>
        <v>3.9999999999882299</v>
      </c>
    </row>
    <row r="13" spans="7:12" x14ac:dyDescent="0.3">
      <c r="G13" s="40"/>
      <c r="H13" s="2"/>
    </row>
    <row r="14" spans="7:12" x14ac:dyDescent="0.3">
      <c r="G14" s="9" t="s">
        <v>11</v>
      </c>
      <c r="H14" s="64">
        <f>MIRR(H5:H7,20%,20%)</f>
        <v>0.21510493374029216</v>
      </c>
      <c r="K14" s="23"/>
      <c r="L14" s="23"/>
    </row>
    <row r="15" spans="7:12" x14ac:dyDescent="0.3">
      <c r="K15" s="23"/>
      <c r="L15" s="24"/>
    </row>
    <row r="16" spans="7:12" x14ac:dyDescent="0.3">
      <c r="K16" s="23"/>
      <c r="L16" s="24"/>
    </row>
    <row r="17" spans="2:12" x14ac:dyDescent="0.3">
      <c r="B17" s="2" t="s">
        <v>23</v>
      </c>
      <c r="C17" s="4">
        <v>0.2</v>
      </c>
      <c r="D17" s="2" t="s">
        <v>4</v>
      </c>
      <c r="K17" s="23"/>
      <c r="L17" s="25"/>
    </row>
    <row r="18" spans="2:12" x14ac:dyDescent="0.3">
      <c r="K18" s="23"/>
      <c r="L18" s="24"/>
    </row>
    <row r="19" spans="2:12" x14ac:dyDescent="0.3">
      <c r="K19" s="49"/>
      <c r="L19" s="26"/>
    </row>
    <row r="20" spans="2:12" x14ac:dyDescent="0.3">
      <c r="K20" s="49"/>
      <c r="L20" s="27"/>
    </row>
    <row r="21" spans="2:12" x14ac:dyDescent="0.3">
      <c r="K21" s="49"/>
      <c r="L21" s="28"/>
    </row>
    <row r="22" spans="2:12" x14ac:dyDescent="0.3">
      <c r="K22" s="49"/>
      <c r="L22" s="26"/>
    </row>
    <row r="24" spans="2:12" x14ac:dyDescent="0.3">
      <c r="L24" s="2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U14"/>
  <sheetViews>
    <sheetView zoomScale="110" zoomScaleNormal="110" workbookViewId="0">
      <selection activeCell="M8" sqref="M8"/>
    </sheetView>
  </sheetViews>
  <sheetFormatPr defaultColWidth="9.140625" defaultRowHeight="21" x14ac:dyDescent="0.35"/>
  <cols>
    <col min="1" max="11" width="9.140625" style="35"/>
    <col min="12" max="12" width="16.7109375" style="53" customWidth="1"/>
    <col min="13" max="13" width="19" style="53" customWidth="1"/>
    <col min="14" max="14" width="9.140625" style="53"/>
    <col min="15" max="15" width="21.5703125" style="53" customWidth="1"/>
    <col min="16" max="19" width="9.140625" style="53"/>
    <col min="20" max="16384" width="9.140625" style="35"/>
  </cols>
  <sheetData>
    <row r="1" spans="12:21" ht="18.75" x14ac:dyDescent="0.3">
      <c r="L1" s="2"/>
      <c r="M1" s="2"/>
      <c r="N1" s="2"/>
      <c r="O1" s="2"/>
      <c r="P1" s="2"/>
      <c r="Q1" s="2"/>
      <c r="R1" s="2"/>
      <c r="S1" s="2"/>
      <c r="T1" s="2"/>
      <c r="U1" s="2"/>
    </row>
    <row r="2" spans="12:21" ht="18.75" x14ac:dyDescent="0.3">
      <c r="L2" s="14" t="s">
        <v>17</v>
      </c>
      <c r="M2" s="61">
        <v>-100000</v>
      </c>
      <c r="N2" s="14"/>
      <c r="O2" s="2"/>
      <c r="P2" s="2"/>
      <c r="Q2" s="2"/>
      <c r="R2" s="2"/>
      <c r="S2" s="2"/>
      <c r="T2" s="2"/>
      <c r="U2" s="2"/>
    </row>
    <row r="3" spans="12:21" ht="18.75" x14ac:dyDescent="0.3">
      <c r="L3" s="14" t="s">
        <v>36</v>
      </c>
      <c r="M3" s="15">
        <v>650</v>
      </c>
      <c r="N3" s="14" t="s">
        <v>37</v>
      </c>
      <c r="O3" s="2"/>
      <c r="P3" s="2"/>
      <c r="Q3" s="2"/>
      <c r="R3" s="2"/>
      <c r="S3" s="2"/>
      <c r="T3" s="2"/>
      <c r="U3" s="2"/>
    </row>
    <row r="4" spans="12:21" ht="18.75" x14ac:dyDescent="0.3">
      <c r="L4" s="14" t="s">
        <v>5</v>
      </c>
      <c r="M4" s="16">
        <v>0.01</v>
      </c>
      <c r="N4" s="14" t="s">
        <v>38</v>
      </c>
      <c r="O4" s="2"/>
      <c r="P4" s="2"/>
      <c r="Q4" s="2"/>
      <c r="R4" s="2"/>
      <c r="S4" s="2"/>
      <c r="T4" s="2"/>
      <c r="U4" s="2"/>
    </row>
    <row r="5" spans="12:21" ht="18.75" x14ac:dyDescent="0.3">
      <c r="L5" s="2"/>
      <c r="M5" s="2"/>
      <c r="N5" s="2"/>
      <c r="O5" s="2"/>
      <c r="P5" s="2"/>
      <c r="Q5" s="2"/>
      <c r="R5" s="2"/>
      <c r="S5" s="2"/>
      <c r="T5" s="2"/>
      <c r="U5" s="2"/>
    </row>
    <row r="6" spans="12:21" ht="18.75" x14ac:dyDescent="0.3">
      <c r="L6" s="14" t="s">
        <v>39</v>
      </c>
      <c r="M6" s="66">
        <f>M3/M4</f>
        <v>65000</v>
      </c>
      <c r="N6" s="14"/>
      <c r="O6" s="2"/>
      <c r="P6" s="2"/>
      <c r="Q6" s="2"/>
      <c r="R6" s="2"/>
      <c r="S6" s="2"/>
      <c r="T6" s="2"/>
      <c r="U6" s="2"/>
    </row>
    <row r="7" spans="12:21" ht="18.75" x14ac:dyDescent="0.3">
      <c r="L7" s="14" t="s">
        <v>2</v>
      </c>
      <c r="M7" s="67">
        <f>M6+M2</f>
        <v>-35000</v>
      </c>
      <c r="N7" s="14"/>
      <c r="O7" s="69" t="s">
        <v>40</v>
      </c>
      <c r="P7" s="2"/>
      <c r="Q7" s="2"/>
      <c r="R7" s="2"/>
      <c r="S7" s="2"/>
      <c r="T7" s="2"/>
      <c r="U7" s="2"/>
    </row>
    <row r="8" spans="12:21" ht="18.75" x14ac:dyDescent="0.3">
      <c r="L8" s="14" t="s">
        <v>3</v>
      </c>
      <c r="M8" s="67">
        <f>M7*M4</f>
        <v>-350</v>
      </c>
      <c r="N8" s="14" t="s">
        <v>37</v>
      </c>
      <c r="O8" s="69" t="s">
        <v>40</v>
      </c>
      <c r="P8" s="2"/>
      <c r="Q8" s="2"/>
      <c r="R8" s="2"/>
      <c r="S8" s="2"/>
      <c r="T8" s="2"/>
      <c r="U8" s="2"/>
    </row>
    <row r="9" spans="12:21" ht="18.75" x14ac:dyDescent="0.3">
      <c r="L9" s="14" t="s">
        <v>12</v>
      </c>
      <c r="M9" s="68">
        <f>M3/100000</f>
        <v>6.4999999999999997E-3</v>
      </c>
      <c r="N9" s="14" t="s">
        <v>38</v>
      </c>
      <c r="O9" s="69" t="s">
        <v>40</v>
      </c>
      <c r="P9" s="2"/>
      <c r="Q9" s="2"/>
      <c r="R9" s="2"/>
      <c r="S9" s="2"/>
      <c r="T9" s="2"/>
      <c r="U9" s="2"/>
    </row>
    <row r="10" spans="12:21" ht="18.75" x14ac:dyDescent="0.3"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2:21" ht="18.75" x14ac:dyDescent="0.3"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2:21" ht="18.75" x14ac:dyDescent="0.3"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2:21" ht="18.75" x14ac:dyDescent="0.3"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2:21" ht="18.75" x14ac:dyDescent="0.3">
      <c r="L14" s="2"/>
      <c r="M14" s="2"/>
      <c r="N14" s="2"/>
      <c r="O14" s="2"/>
      <c r="P14" s="2"/>
      <c r="Q14" s="2"/>
      <c r="R14" s="2"/>
      <c r="S14" s="2"/>
      <c r="T14" s="2"/>
      <c r="U14" s="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3:P22"/>
  <sheetViews>
    <sheetView zoomScale="110" zoomScaleNormal="110" workbookViewId="0">
      <selection activeCell="F19" sqref="F19"/>
    </sheetView>
  </sheetViews>
  <sheetFormatPr defaultColWidth="9.140625" defaultRowHeight="18.75" x14ac:dyDescent="0.3"/>
  <cols>
    <col min="1" max="5" width="9.140625" style="2"/>
    <col min="6" max="6" width="19.7109375" style="2" bestFit="1" customWidth="1"/>
    <col min="7" max="7" width="9.140625" style="2"/>
    <col min="8" max="8" width="1.7109375" style="2" customWidth="1"/>
    <col min="9" max="10" width="9.140625" style="2"/>
    <col min="11" max="11" width="25" style="2" bestFit="1" customWidth="1"/>
    <col min="12" max="14" width="9.140625" style="2"/>
    <col min="15" max="15" width="19.7109375" style="2" bestFit="1" customWidth="1"/>
    <col min="16" max="16384" width="9.140625" style="2"/>
  </cols>
  <sheetData>
    <row r="13" spans="5:16" x14ac:dyDescent="0.3">
      <c r="E13" s="14" t="s">
        <v>17</v>
      </c>
      <c r="F13" s="15">
        <v>-100000</v>
      </c>
      <c r="G13" s="14"/>
      <c r="J13" s="14" t="s">
        <v>17</v>
      </c>
      <c r="K13" s="15">
        <v>-100000</v>
      </c>
      <c r="L13" s="14"/>
      <c r="N13" s="14" t="s">
        <v>17</v>
      </c>
      <c r="O13" s="15">
        <v>-100000</v>
      </c>
      <c r="P13" s="14"/>
    </row>
    <row r="14" spans="5:16" x14ac:dyDescent="0.3">
      <c r="E14" s="14" t="s">
        <v>14</v>
      </c>
      <c r="F14" s="15">
        <v>25000</v>
      </c>
      <c r="G14" s="14"/>
      <c r="J14" s="14" t="s">
        <v>14</v>
      </c>
      <c r="K14" s="15">
        <v>25000</v>
      </c>
      <c r="L14" s="14"/>
      <c r="N14" s="14" t="s">
        <v>14</v>
      </c>
      <c r="O14" s="15">
        <v>25000</v>
      </c>
      <c r="P14" s="14"/>
    </row>
    <row r="15" spans="5:16" ht="21" x14ac:dyDescent="0.35">
      <c r="E15" s="14" t="s">
        <v>18</v>
      </c>
      <c r="F15" s="14">
        <v>10</v>
      </c>
      <c r="G15" s="14" t="s">
        <v>19</v>
      </c>
      <c r="J15" s="14" t="s">
        <v>18</v>
      </c>
      <c r="K15" s="14">
        <v>50</v>
      </c>
      <c r="L15" s="14" t="s">
        <v>19</v>
      </c>
      <c r="N15" s="14" t="s">
        <v>18</v>
      </c>
      <c r="O15" s="19" t="s">
        <v>20</v>
      </c>
      <c r="P15" s="14" t="s">
        <v>19</v>
      </c>
    </row>
    <row r="16" spans="5:16" x14ac:dyDescent="0.3">
      <c r="E16" s="14" t="s">
        <v>21</v>
      </c>
      <c r="F16" s="16">
        <v>0.2</v>
      </c>
      <c r="G16" s="14"/>
      <c r="J16" s="14" t="s">
        <v>21</v>
      </c>
      <c r="K16" s="16">
        <v>0.2</v>
      </c>
      <c r="L16" s="14"/>
      <c r="N16" s="14" t="s">
        <v>21</v>
      </c>
      <c r="O16" s="16">
        <v>0.2</v>
      </c>
      <c r="P16" s="14"/>
    </row>
    <row r="18" spans="5:15" x14ac:dyDescent="0.3">
      <c r="E18" s="14" t="s">
        <v>2</v>
      </c>
      <c r="F18" s="13">
        <f>-PV(F16,F15,F14)-100000</f>
        <v>4811.8021387692716</v>
      </c>
      <c r="J18" s="14" t="s">
        <v>2</v>
      </c>
      <c r="K18" s="13">
        <f>-PV(20%,K15,K14)-100000</f>
        <v>24986.264397610343</v>
      </c>
      <c r="N18" s="14" t="s">
        <v>2</v>
      </c>
      <c r="O18" s="12">
        <f>O14/O16-100000</f>
        <v>25000</v>
      </c>
    </row>
    <row r="20" spans="5:15" x14ac:dyDescent="0.3">
      <c r="F20" s="30"/>
      <c r="K20" s="30"/>
      <c r="O20" s="30"/>
    </row>
    <row r="22" spans="5:15" x14ac:dyDescent="0.3">
      <c r="K22" s="5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O34"/>
  <sheetViews>
    <sheetView topLeftCell="C1" workbookViewId="0">
      <selection activeCell="J38" sqref="J38"/>
    </sheetView>
  </sheetViews>
  <sheetFormatPr defaultColWidth="9.140625" defaultRowHeight="18.75" x14ac:dyDescent="0.3"/>
  <cols>
    <col min="1" max="1" width="9.140625" style="2"/>
    <col min="2" max="2" width="13.7109375" style="2" customWidth="1"/>
    <col min="3" max="3" width="10.7109375" style="2" customWidth="1"/>
    <col min="4" max="4" width="9.140625" style="2"/>
    <col min="5" max="5" width="18.28515625" style="2" bestFit="1" customWidth="1"/>
    <col min="6" max="6" width="19.85546875" style="2" customWidth="1"/>
    <col min="7" max="7" width="19.28515625" style="2" customWidth="1"/>
    <col min="8" max="10" width="18.28515625" style="2" bestFit="1" customWidth="1"/>
    <col min="11" max="11" width="16.7109375" style="2" bestFit="1" customWidth="1"/>
    <col min="12" max="14" width="9.140625" style="2"/>
    <col min="15" max="15" width="10.28515625" style="2" customWidth="1"/>
    <col min="16" max="16384" width="9.140625" style="2"/>
  </cols>
  <sheetData>
    <row r="8" spans="3:15" ht="25.5" customHeight="1" x14ac:dyDescent="0.3">
      <c r="C8" s="73" t="s">
        <v>27</v>
      </c>
      <c r="D8" s="73"/>
      <c r="E8" s="73"/>
      <c r="F8" s="73"/>
      <c r="G8" s="73"/>
      <c r="H8" s="73"/>
      <c r="I8" s="73"/>
      <c r="J8" s="73"/>
      <c r="K8" s="73"/>
      <c r="L8" s="73"/>
      <c r="M8" s="8"/>
      <c r="N8" s="8"/>
      <c r="O8" s="8"/>
    </row>
    <row r="9" spans="3:15" x14ac:dyDescent="0.3">
      <c r="C9" s="73"/>
      <c r="D9" s="73"/>
      <c r="E9" s="73"/>
      <c r="F9" s="73"/>
      <c r="G9" s="73"/>
      <c r="H9" s="73"/>
      <c r="I9" s="73"/>
      <c r="J9" s="73"/>
      <c r="K9" s="73"/>
      <c r="L9" s="73"/>
      <c r="M9" s="8"/>
      <c r="N9" s="8"/>
      <c r="O9" s="8"/>
    </row>
    <row r="10" spans="3:15" ht="47.25" customHeight="1" x14ac:dyDescent="0.3"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8"/>
      <c r="N10" s="8"/>
      <c r="O10" s="8"/>
    </row>
    <row r="13" spans="3:15" x14ac:dyDescent="0.3">
      <c r="E13" s="9" t="s">
        <v>5</v>
      </c>
      <c r="F13" s="21">
        <v>0.06</v>
      </c>
      <c r="G13" s="21">
        <v>0.06</v>
      </c>
      <c r="H13" s="21">
        <v>0.06</v>
      </c>
    </row>
    <row r="14" spans="3:15" x14ac:dyDescent="0.3">
      <c r="E14" s="9" t="s">
        <v>13</v>
      </c>
      <c r="F14" s="70" t="s">
        <v>14</v>
      </c>
      <c r="G14" s="71" t="s">
        <v>15</v>
      </c>
      <c r="H14" s="71" t="s">
        <v>16</v>
      </c>
    </row>
    <row r="15" spans="3:15" x14ac:dyDescent="0.3">
      <c r="E15" s="9">
        <v>0</v>
      </c>
      <c r="F15" s="51">
        <v>-10000</v>
      </c>
      <c r="G15" s="51">
        <v>-20000</v>
      </c>
      <c r="H15" s="51">
        <v>-50000</v>
      </c>
      <c r="I15" s="30"/>
    </row>
    <row r="16" spans="3:15" x14ac:dyDescent="0.3">
      <c r="E16" s="9">
        <v>1</v>
      </c>
      <c r="F16" s="11">
        <v>1628</v>
      </c>
      <c r="G16" s="11">
        <v>3116</v>
      </c>
      <c r="H16" s="11">
        <v>7450</v>
      </c>
      <c r="I16" s="30"/>
    </row>
    <row r="17" spans="5:13" x14ac:dyDescent="0.3">
      <c r="E17" s="9">
        <v>2</v>
      </c>
      <c r="F17" s="11">
        <v>1628</v>
      </c>
      <c r="G17" s="11">
        <v>3116</v>
      </c>
      <c r="H17" s="11">
        <v>7450</v>
      </c>
      <c r="I17" s="30"/>
    </row>
    <row r="18" spans="5:13" x14ac:dyDescent="0.3">
      <c r="E18" s="9">
        <v>3</v>
      </c>
      <c r="F18" s="11">
        <v>1628</v>
      </c>
      <c r="G18" s="11">
        <v>3116</v>
      </c>
      <c r="H18" s="11">
        <v>7450</v>
      </c>
      <c r="I18" s="30"/>
    </row>
    <row r="19" spans="5:13" x14ac:dyDescent="0.3">
      <c r="E19" s="9">
        <v>4</v>
      </c>
      <c r="F19" s="11">
        <v>1628</v>
      </c>
      <c r="G19" s="11">
        <v>3116</v>
      </c>
      <c r="H19" s="11">
        <v>7450</v>
      </c>
      <c r="I19" s="30"/>
    </row>
    <row r="20" spans="5:13" x14ac:dyDescent="0.3">
      <c r="E20" s="9">
        <v>5</v>
      </c>
      <c r="F20" s="11">
        <v>1628</v>
      </c>
      <c r="G20" s="11">
        <v>3116</v>
      </c>
      <c r="H20" s="11">
        <v>7450</v>
      </c>
      <c r="I20" s="30"/>
    </row>
    <row r="21" spans="5:13" x14ac:dyDescent="0.3">
      <c r="E21" s="9">
        <v>6</v>
      </c>
      <c r="F21" s="11">
        <v>1628</v>
      </c>
      <c r="G21" s="11">
        <v>3116</v>
      </c>
      <c r="H21" s="11">
        <v>7450</v>
      </c>
      <c r="I21" s="30"/>
    </row>
    <row r="22" spans="5:13" x14ac:dyDescent="0.3">
      <c r="E22" s="9">
        <v>7</v>
      </c>
      <c r="F22" s="11">
        <v>1628</v>
      </c>
      <c r="G22" s="11">
        <v>3116</v>
      </c>
      <c r="H22" s="11">
        <v>7450</v>
      </c>
      <c r="I22" s="30"/>
    </row>
    <row r="23" spans="5:13" x14ac:dyDescent="0.3">
      <c r="E23" s="9">
        <v>8</v>
      </c>
      <c r="F23" s="11">
        <v>1628</v>
      </c>
      <c r="G23" s="11">
        <v>3116</v>
      </c>
      <c r="H23" s="11">
        <v>7450</v>
      </c>
      <c r="I23" s="30"/>
    </row>
    <row r="24" spans="5:13" x14ac:dyDescent="0.3">
      <c r="E24" s="9">
        <v>9</v>
      </c>
      <c r="F24" s="11">
        <v>1628</v>
      </c>
      <c r="G24" s="11">
        <v>3116</v>
      </c>
      <c r="H24" s="11">
        <v>7450</v>
      </c>
      <c r="I24" s="30"/>
    </row>
    <row r="25" spans="5:13" x14ac:dyDescent="0.3">
      <c r="E25" s="9">
        <v>10</v>
      </c>
      <c r="F25" s="11">
        <v>1628</v>
      </c>
      <c r="G25" s="11">
        <v>3116</v>
      </c>
      <c r="H25" s="11">
        <v>7450</v>
      </c>
      <c r="I25" s="30"/>
    </row>
    <row r="26" spans="5:13" x14ac:dyDescent="0.3">
      <c r="E26" s="9" t="s">
        <v>25</v>
      </c>
      <c r="F26" s="10" t="s">
        <v>14</v>
      </c>
      <c r="G26" s="10" t="s">
        <v>15</v>
      </c>
      <c r="H26" s="10" t="s">
        <v>16</v>
      </c>
    </row>
    <row r="27" spans="5:13" x14ac:dyDescent="0.3">
      <c r="E27" s="9" t="s">
        <v>2</v>
      </c>
      <c r="F27" s="13">
        <f>NPV(F13,F16:F25)+F15</f>
        <v>1982.2217197031241</v>
      </c>
      <c r="G27" s="13">
        <f>NPV(G13,G16:G25)+G15</f>
        <v>2934.0312522081913</v>
      </c>
      <c r="H27" s="13">
        <f>NPV(H13,H16:H25)+H15</f>
        <v>4832.6485330394789</v>
      </c>
      <c r="I27" s="41"/>
      <c r="J27" s="31"/>
      <c r="K27" s="31"/>
      <c r="L27" s="30"/>
      <c r="M27" s="30"/>
    </row>
    <row r="28" spans="5:13" x14ac:dyDescent="0.3">
      <c r="E28" s="9" t="s">
        <v>12</v>
      </c>
      <c r="F28" s="18">
        <f>IRR(F15:F25)</f>
        <v>0.10007809828132008</v>
      </c>
      <c r="G28" s="18">
        <f>IRR(G15:G25)</f>
        <v>8.9970707645013803E-2</v>
      </c>
      <c r="H28" s="18">
        <f>IRR(H15:H25)</f>
        <v>7.9956128684354422E-2</v>
      </c>
      <c r="I28" s="42"/>
      <c r="J28" s="33"/>
      <c r="K28" s="33"/>
    </row>
    <row r="30" spans="5:13" x14ac:dyDescent="0.3">
      <c r="E30" s="9" t="s">
        <v>25</v>
      </c>
      <c r="F30" s="21" t="s">
        <v>2</v>
      </c>
      <c r="G30" s="9" t="s">
        <v>24</v>
      </c>
      <c r="H30" s="9" t="s">
        <v>22</v>
      </c>
      <c r="I30" s="9" t="s">
        <v>26</v>
      </c>
    </row>
    <row r="31" spans="5:13" x14ac:dyDescent="0.3">
      <c r="E31" s="10" t="s">
        <v>31</v>
      </c>
      <c r="F31" s="13">
        <f>F27+G27</f>
        <v>4916.2529719113154</v>
      </c>
      <c r="G31" s="34">
        <f>F15+G15</f>
        <v>-30000</v>
      </c>
      <c r="H31" s="15">
        <v>75000</v>
      </c>
      <c r="I31" s="12">
        <f>H31+G31</f>
        <v>45000</v>
      </c>
    </row>
    <row r="32" spans="5:13" x14ac:dyDescent="0.3">
      <c r="E32" s="10" t="s">
        <v>32</v>
      </c>
      <c r="F32" s="13">
        <f>F27+H27</f>
        <v>6814.870252742603</v>
      </c>
      <c r="G32" s="34">
        <f>F15+H15</f>
        <v>-60000</v>
      </c>
      <c r="H32" s="15">
        <v>75000</v>
      </c>
      <c r="I32" s="12">
        <f>H32+G32</f>
        <v>15000</v>
      </c>
    </row>
    <row r="33" spans="5:9" x14ac:dyDescent="0.3">
      <c r="E33" s="71" t="s">
        <v>33</v>
      </c>
      <c r="F33" s="32">
        <f>G27+H27</f>
        <v>7766.6797852476702</v>
      </c>
      <c r="G33" s="34">
        <f>G15+H15</f>
        <v>-70000</v>
      </c>
      <c r="H33" s="15">
        <v>75000</v>
      </c>
      <c r="I33" s="12">
        <f>H33+G33</f>
        <v>5000</v>
      </c>
    </row>
    <row r="34" spans="5:9" x14ac:dyDescent="0.3">
      <c r="E34" s="70" t="s">
        <v>34</v>
      </c>
      <c r="F34" s="43">
        <f>F27+G27+H27</f>
        <v>9748.9015049507943</v>
      </c>
      <c r="G34" s="44">
        <f>F15+G15+H15</f>
        <v>-80000</v>
      </c>
      <c r="H34" s="15">
        <v>75000</v>
      </c>
      <c r="I34" s="52">
        <f>H34+G34</f>
        <v>-5000</v>
      </c>
    </row>
  </sheetData>
  <mergeCells count="1">
    <mergeCell ref="C8:L1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VPL</vt:lpstr>
      <vt:lpstr>MMC</vt:lpstr>
      <vt:lpstr>TIR</vt:lpstr>
      <vt:lpstr>Aluguel</vt:lpstr>
      <vt:lpstr>Vidas Perpétuas</vt:lpstr>
      <vt:lpstr>Restrições financeiras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Miranda</dc:creator>
  <cp:lastModifiedBy>Rafael</cp:lastModifiedBy>
  <dcterms:created xsi:type="dcterms:W3CDTF">2016-04-15T13:03:25Z</dcterms:created>
  <dcterms:modified xsi:type="dcterms:W3CDTF">2020-05-11T12:55:26Z</dcterms:modified>
</cp:coreProperties>
</file>