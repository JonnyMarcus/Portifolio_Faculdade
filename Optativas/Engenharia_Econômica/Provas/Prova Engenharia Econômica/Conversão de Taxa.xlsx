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Exemplo I" sheetId="1" r:id="rId1"/>
    <sheet name="Exemplo II" sheetId="2" r:id="rId2"/>
    <sheet name="Exemplo III" sheetId="3" r:id="rId3"/>
    <sheet name="Exemplo IV" sheetId="4" r:id="rId4"/>
    <sheet name="Tx de Juros" sheetId="5" r:id="rId5"/>
    <sheet name="Tx de Juros II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<sst xmlns="http://schemas.openxmlformats.org/spreadsheetml/2006/main" count="75" uniqueCount="18">
  <si>
    <t>VP</t>
  </si>
  <si>
    <t>R$</t>
  </si>
  <si>
    <t>n</t>
  </si>
  <si>
    <t>meses</t>
  </si>
  <si>
    <t>i</t>
  </si>
  <si>
    <t>aa</t>
  </si>
  <si>
    <t>am</t>
  </si>
  <si>
    <t>VF</t>
  </si>
  <si>
    <t>anos</t>
  </si>
  <si>
    <t>PGTO=A</t>
  </si>
  <si>
    <t>$/ano</t>
  </si>
  <si>
    <t>A=PGTO</t>
  </si>
  <si>
    <t>PGTO</t>
  </si>
  <si>
    <t>$/mês</t>
  </si>
  <si>
    <t>Taxa=i</t>
  </si>
  <si>
    <t>ERRO</t>
  </si>
  <si>
    <t>Tipo 0</t>
  </si>
  <si>
    <t>Tipo 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</si>
</sst>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-* #,##0.00_-;\-* #,##0.00_-;_-* &quot;-&quot;??_-;_-@_-"/>
    <numFmt numFmtId="177" formatCode="_-&quot;R$&quot;* #,##0.00_-;\-&quot;R$&quot;* #,##0.00_-;_-&quot;R$&quot;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0.000%"/>
    <numFmt numFmtId="181" formatCode="&quot;R$&quot;#,##0.00;[Red]\-&quot;R$&quot;#,##0.00"/>
    <numFmt numFmtId="182" formatCode="0.0000%"/>
  </numFmts>
  <fonts count="24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sz val="18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8" borderId="4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26">
    <xf numFmtId="0" fontId="0" fillId="0" borderId="0" xfId="0"/>
    <xf numFmtId="0" fontId="0" fillId="2" borderId="0" xfId="0" applyFill="1"/>
    <xf numFmtId="0" fontId="1" fillId="0" borderId="0" xfId="0" applyFont="1"/>
    <xf numFmtId="177" fontId="1" fillId="0" borderId="0" xfId="2" applyFont="1"/>
    <xf numFmtId="177" fontId="2" fillId="0" borderId="0" xfId="2" applyFont="1"/>
    <xf numFmtId="180" fontId="1" fillId="0" borderId="0" xfId="0" applyNumberFormat="1" applyFont="1"/>
    <xf numFmtId="10" fontId="1" fillId="0" borderId="0" xfId="3" applyNumberFormat="1" applyFont="1"/>
    <xf numFmtId="0" fontId="0" fillId="0" borderId="0" xfId="0" applyFill="1"/>
    <xf numFmtId="9" fontId="1" fillId="3" borderId="0" xfId="0" applyNumberFormat="1" applyFont="1" applyFill="1"/>
    <xf numFmtId="10" fontId="1" fillId="0" borderId="0" xfId="0" applyNumberFormat="1" applyFont="1"/>
    <xf numFmtId="0" fontId="1" fillId="4" borderId="0" xfId="0" applyFont="1" applyFill="1"/>
    <xf numFmtId="0" fontId="1" fillId="2" borderId="0" xfId="0" applyFont="1" applyFill="1"/>
    <xf numFmtId="9" fontId="1" fillId="0" borderId="0" xfId="0" applyNumberFormat="1" applyFont="1"/>
    <xf numFmtId="181" fontId="1" fillId="0" borderId="0" xfId="0" applyNumberFormat="1" applyFont="1"/>
    <xf numFmtId="0" fontId="1" fillId="3" borderId="0" xfId="0" applyFont="1" applyFill="1"/>
    <xf numFmtId="0" fontId="1" fillId="0" borderId="0" xfId="0" applyFont="1" applyFill="1"/>
    <xf numFmtId="182" fontId="1" fillId="0" borderId="0" xfId="0" applyNumberFormat="1" applyFont="1"/>
    <xf numFmtId="0" fontId="1" fillId="5" borderId="0" xfId="0" applyFont="1" applyFill="1"/>
    <xf numFmtId="177" fontId="1" fillId="0" borderId="0" xfId="0" applyNumberFormat="1" applyFont="1"/>
    <xf numFmtId="0" fontId="3" fillId="0" borderId="0" xfId="0" applyFont="1"/>
    <xf numFmtId="0" fontId="3" fillId="2" borderId="0" xfId="0" applyFont="1" applyFill="1"/>
    <xf numFmtId="0" fontId="3" fillId="0" borderId="0" xfId="0" applyFont="1" applyFill="1"/>
    <xf numFmtId="177" fontId="1" fillId="0" borderId="0" xfId="2" applyFont="1" applyFill="1"/>
    <xf numFmtId="10" fontId="1" fillId="0" borderId="0" xfId="0" applyNumberFormat="1" applyFont="1" applyFill="1"/>
    <xf numFmtId="182" fontId="1" fillId="0" borderId="0" xfId="3" applyNumberFormat="1" applyFont="1" applyFill="1"/>
    <xf numFmtId="181" fontId="1" fillId="0" borderId="0" xfId="0" applyNumberFormat="1" applyFont="1" applyFill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customStorage" Target="customStorage/customStorage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127000</xdr:colOff>
      <xdr:row>0</xdr:row>
      <xdr:rowOff>25400</xdr:rowOff>
    </xdr:from>
    <xdr:to>
      <xdr:col>13</xdr:col>
      <xdr:colOff>444500</xdr:colOff>
      <xdr:row>29</xdr:row>
      <xdr:rowOff>42900</xdr:rowOff>
    </xdr:to>
    <xdr:sp>
      <xdr:nvSpPr>
        <xdr:cNvPr id="2" name="Rectangle 3" descr="736116e3-0db1-4661-9847-528ad24320a8"/>
        <xdr:cNvSpPr>
          <a:spLocks noGrp="1" noChangeArrowheads="1"/>
        </xdr:cNvSpPr>
      </xdr:nvSpPr>
      <xdr:spPr>
        <a:xfrm>
          <a:off x="1860550" y="25400"/>
          <a:ext cx="6096000" cy="8580120"/>
        </a:xfrm>
        <a:prstGeom prst="rect">
          <a:avLst/>
        </a:prstGeom>
        <a:noFill/>
        <a:ln w="9525">
          <a:noFill/>
          <a:miter lim="800000"/>
        </a:ln>
      </xdr:spPr>
      <xdr:txBody>
        <a:bodyPr vert="horz" wrap="square" lIns="91440" tIns="45720" rIns="91440" bIns="45720" numCol="1" anchor="t" anchorCtr="0" compatLnSpc="1"/>
        <a:lstStyle>
          <a:lvl1pPr marL="536575" indent="-536575" algn="l" rtl="0" eaLnBrk="0" fontAlgn="base" hangingPunct="0">
            <a:spcBef>
              <a:spcPts val="600"/>
            </a:spcBef>
            <a:spcAft>
              <a:spcPct val="0"/>
            </a:spcAft>
            <a:buClr>
              <a:srgbClr val="0091D2"/>
            </a:buClr>
            <a:buSzPct val="100000"/>
            <a:buFontTx/>
            <a:buBlip>
              <a:blip/>
            </a:buBlip>
            <a:defRPr lang="pt-BR" sz="2400">
              <a:solidFill>
                <a:schemeClr val="tx1"/>
              </a:solidFill>
              <a:latin typeface="+mj-lt"/>
              <a:ea typeface="+mn-ea"/>
              <a:cs typeface="+mn-cs"/>
            </a:defRPr>
          </a:lvl1pPr>
          <a:lvl2pPr marL="742950" indent="-285750" algn="l" rtl="0" eaLnBrk="0" fontAlgn="base" hangingPunct="0">
            <a:spcBef>
              <a:spcPts val="600"/>
            </a:spcBef>
            <a:spcAft>
              <a:spcPct val="0"/>
            </a:spcAft>
            <a:buClr>
              <a:srgbClr val="FF0000"/>
            </a:buClr>
            <a:buSzPct val="100000"/>
            <a:buFont typeface="Calibri" panose="020F0502020204030204" pitchFamily="34" charset="0"/>
            <a:buChar char="→"/>
            <a:defRPr lang="pt-BR" sz="2400">
              <a:solidFill>
                <a:schemeClr val="tx1"/>
              </a:solidFill>
              <a:latin typeface="+mj-lt"/>
              <a:ea typeface="+mn-ea"/>
              <a:cs typeface="+mn-cs"/>
            </a:defRPr>
          </a:lvl2pPr>
          <a:lvl3pPr marL="1143000" indent="-228600" algn="l" rtl="0" eaLnBrk="0" fontAlgn="base" hangingPunct="0">
            <a:spcBef>
              <a:spcPts val="600"/>
            </a:spcBef>
            <a:spcAft>
              <a:spcPct val="0"/>
            </a:spcAft>
            <a:buClr>
              <a:srgbClr val="3333CC"/>
            </a:buClr>
            <a:buSzPct val="100000"/>
            <a:buFont typeface="Wingdings" panose="05000000000000000000" pitchFamily="2" charset="2"/>
            <a:buChar char="ü"/>
            <a:defRPr lang="pt-BR" sz="2000">
              <a:solidFill>
                <a:schemeClr val="tx1"/>
              </a:solidFill>
              <a:latin typeface="+mj-lt"/>
              <a:ea typeface="+mn-ea"/>
              <a:cs typeface="+mn-cs"/>
            </a:defRPr>
          </a:lvl3pPr>
          <a:lvl4pPr marL="1600200" indent="-228600" algn="l" rtl="0" eaLnBrk="0" fontAlgn="base" hangingPunct="0">
            <a:spcBef>
              <a:spcPts val="600"/>
            </a:spcBef>
            <a:spcAft>
              <a:spcPct val="0"/>
            </a:spcAft>
            <a:buClr>
              <a:srgbClr val="C00000"/>
            </a:buClr>
            <a:buFont typeface="Arial" panose="020B0604020202020204" pitchFamily="7" charset="0"/>
            <a:buChar char="–"/>
            <a:defRPr lang="pt-BR" sz="2000">
              <a:solidFill>
                <a:schemeClr val="tx1"/>
              </a:solidFill>
              <a:latin typeface="+mj-lt"/>
              <a:ea typeface="+mn-ea"/>
              <a:cs typeface="+mn-cs"/>
            </a:defRPr>
          </a:lvl4pPr>
          <a:lvl5pPr marL="2057400" indent="-228600" algn="l" rtl="0" eaLnBrk="0" fontAlgn="base" hangingPunct="0">
            <a:spcBef>
              <a:spcPts val="600"/>
            </a:spcBef>
            <a:spcAft>
              <a:spcPct val="0"/>
            </a:spcAft>
            <a:buClr>
              <a:srgbClr val="3333CC"/>
            </a:buClr>
            <a:buFont typeface="Arial" panose="020B0604020202020204" pitchFamily="7" charset="0"/>
            <a:buChar char="»"/>
            <a:defRPr lang="pt-BR" sz="1800">
              <a:solidFill>
                <a:schemeClr val="tx1"/>
              </a:solidFill>
              <a:latin typeface="+mj-lt"/>
              <a:ea typeface="+mn-ea"/>
              <a:cs typeface="+mn-cs"/>
            </a:defRPr>
          </a:lvl5pPr>
          <a:lvl6pPr marL="2514600" indent="-228600" algn="l" rtl="0" fontAlgn="base">
            <a:spcBef>
              <a:spcPct val="20000"/>
            </a:spcBef>
            <a:spcAft>
              <a:spcPct val="0"/>
            </a:spcAft>
            <a:buClr>
              <a:srgbClr val="0091D2"/>
            </a:buClr>
            <a:buFont typeface="Arial" panose="020B0604020202020204" pitchFamily="7" charset="0"/>
            <a:buChar char="»"/>
            <a:defRPr sz="2000">
              <a:solidFill>
                <a:schemeClr val="tx1"/>
              </a:solidFill>
              <a:latin typeface="+mn-lt"/>
            </a:defRPr>
          </a:lvl6pPr>
          <a:lvl7pPr marL="2971800" indent="-228600" algn="l" rtl="0" fontAlgn="base">
            <a:spcBef>
              <a:spcPct val="20000"/>
            </a:spcBef>
            <a:spcAft>
              <a:spcPct val="0"/>
            </a:spcAft>
            <a:buClr>
              <a:srgbClr val="0091D2"/>
            </a:buClr>
            <a:buFont typeface="Arial" panose="020B0604020202020204" pitchFamily="7" charset="0"/>
            <a:buChar char="»"/>
            <a:defRPr sz="2000">
              <a:solidFill>
                <a:schemeClr val="tx1"/>
              </a:solidFill>
              <a:latin typeface="+mn-lt"/>
            </a:defRPr>
          </a:lvl7pPr>
          <a:lvl8pPr marL="3429000" indent="-228600" algn="l" rtl="0" fontAlgn="base">
            <a:spcBef>
              <a:spcPct val="20000"/>
            </a:spcBef>
            <a:spcAft>
              <a:spcPct val="0"/>
            </a:spcAft>
            <a:buClr>
              <a:srgbClr val="0091D2"/>
            </a:buClr>
            <a:buFont typeface="Arial" panose="020B0604020202020204" pitchFamily="7" charset="0"/>
            <a:buChar char="»"/>
            <a:defRPr sz="2000">
              <a:solidFill>
                <a:schemeClr val="tx1"/>
              </a:solidFill>
              <a:latin typeface="+mn-lt"/>
            </a:defRPr>
          </a:lvl8pPr>
          <a:lvl9pPr marL="3886200" indent="-228600" algn="l" rtl="0" fontAlgn="base">
            <a:spcBef>
              <a:spcPct val="20000"/>
            </a:spcBef>
            <a:spcAft>
              <a:spcPct val="0"/>
            </a:spcAft>
            <a:buClr>
              <a:srgbClr val="0091D2"/>
            </a:buClr>
            <a:buFont typeface="Arial" panose="020B0604020202020204" pitchFamily="7" charset="0"/>
            <a:buChar char="»"/>
            <a:defRPr sz="2000">
              <a:solidFill>
                <a:schemeClr val="tx1"/>
              </a:solidFill>
              <a:latin typeface="+mn-lt"/>
            </a:defRPr>
          </a:lvl9pPr>
        </a:lstStyle>
        <a:p>
          <a:pPr>
            <a:lnSpc>
              <a:spcPct val="130000"/>
            </a:lnSpc>
          </a:pPr>
          <a:r>
            <a:rPr lang="pt-BR" altLang="pt-BR" sz="1800" b="1"/>
            <a:t>Exemplo I (II.3 Apostila):</a:t>
          </a:r>
          <a:endParaRPr lang="pt-BR" altLang="pt-BR" sz="1800" b="1"/>
        </a:p>
        <a:p>
          <a:pPr lvl="1">
            <a:lnSpc>
              <a:spcPct val="130000"/>
            </a:lnSpc>
          </a:pPr>
          <a:r>
            <a:rPr lang="pt-BR" altLang="pt-BR" sz="1800" b="1"/>
            <a:t>Consegue-se um empréstimo de R$ 10.000,00 em um banco que cobra 79,60% ao ano de juros. Quanto deverá ser pago se o prazo do empréstimo for de 5 meses</a:t>
          </a:r>
          <a:r>
            <a:rPr lang="pt-BR" altLang="pt-BR" sz="1800"/>
            <a:t>. </a:t>
          </a:r>
          <a:endParaRPr lang="pt-BR" altLang="pt-BR" sz="1800"/>
        </a:p>
      </xdr:txBody>
    </xdr:sp>
    <xdr:clientData/>
  </xdr:twoCellAnchor>
  <xdr:twoCellAnchor>
    <xdr:from>
      <xdr:col>6</xdr:col>
      <xdr:colOff>218566</xdr:colOff>
      <xdr:row>5</xdr:row>
      <xdr:rowOff>133350</xdr:rowOff>
    </xdr:from>
    <xdr:to>
      <xdr:col>10</xdr:col>
      <xdr:colOff>152400</xdr:colOff>
      <xdr:row>14</xdr:row>
      <xdr:rowOff>43634</xdr:rowOff>
    </xdr:to>
    <xdr:grpSp>
      <xdr:nvGrpSpPr>
        <xdr:cNvPr id="3" name="Group 5"/>
        <xdr:cNvGrpSpPr/>
      </xdr:nvGrpSpPr>
      <xdr:grpSpPr>
        <a:xfrm>
          <a:off x="3685540" y="1609725"/>
          <a:ext cx="2245360" cy="2567305"/>
          <a:chOff x="1062" y="1625"/>
          <a:chExt cx="1710" cy="1114"/>
        </a:xfrm>
      </xdr:grpSpPr>
      <xdr:sp>
        <xdr:nvSpPr>
          <xdr:cNvPr id="4" name="Line 6"/>
          <xdr:cNvSpPr>
            <a:spLocks noChangeShapeType="1"/>
          </xdr:cNvSpPr>
        </xdr:nvSpPr>
        <xdr:spPr>
          <a:xfrm flipH="1" flipV="1">
            <a:off x="1460" y="1772"/>
            <a:ext cx="1" cy="454"/>
          </a:xfrm>
          <a:prstGeom prst="line">
            <a:avLst/>
          </a:prstGeom>
          <a:noFill/>
          <a:ln w="50800">
            <a:solidFill>
              <a:srgbClr val="0000FF"/>
            </a:solidFill>
            <a:round/>
            <a:tailEnd type="stealth" w="med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endParaRPr lang="pt-BR" sz="1600"/>
          </a:p>
        </xdr:txBody>
      </xdr:sp>
      <xdr:sp>
        <xdr:nvSpPr>
          <xdr:cNvPr id="5" name="Line 7"/>
          <xdr:cNvSpPr>
            <a:spLocks noChangeShapeType="1"/>
          </xdr:cNvSpPr>
        </xdr:nvSpPr>
        <xdr:spPr>
          <a:xfrm flipH="1">
            <a:off x="2456" y="2226"/>
            <a:ext cx="4" cy="513"/>
          </a:xfrm>
          <a:prstGeom prst="line">
            <a:avLst/>
          </a:prstGeom>
          <a:noFill/>
          <a:ln w="50800">
            <a:solidFill>
              <a:srgbClr val="FF0000"/>
            </a:solidFill>
            <a:round/>
            <a:tailEnd type="stealth" w="med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endParaRPr lang="pt-BR" sz="1600"/>
          </a:p>
        </xdr:txBody>
      </xdr:sp>
      <xdr:sp>
        <xdr:nvSpPr>
          <xdr:cNvPr id="6" name="Text Box 8"/>
          <xdr:cNvSpPr txBox="1">
            <a:spLocks noChangeArrowheads="1"/>
          </xdr:cNvSpPr>
        </xdr:nvSpPr>
        <xdr:spPr>
          <a:xfrm>
            <a:off x="1234" y="2067"/>
            <a:ext cx="317" cy="143"/>
          </a:xfrm>
          <a:prstGeom prst="rect">
            <a:avLst/>
          </a:prstGeom>
          <a:noFill/>
          <a:ln w="9525" algn="ctr">
            <a:noFill/>
            <a:miter lim="800000"/>
          </a:ln>
          <a:effectLst/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>
              <a:spcBef>
                <a:spcPct val="50000"/>
              </a:spcBef>
              <a:defRPr/>
            </a:pPr>
            <a:r>
              <a:rPr lang="pt-BR" sz="1600" b="1">
                <a:solidFill>
                  <a:schemeClr val="tx1"/>
                </a:solidFill>
                <a:effectLst>
                  <a:outerShdw blurRad="38100" dist="38100" dir="2700000" algn="tl">
                    <a:srgbClr val="C0C0C0"/>
                  </a:outerShdw>
                </a:effectLst>
                <a:latin typeface="Arial" panose="020B0604020202020204" pitchFamily="7" charset="0"/>
              </a:rPr>
              <a:t>0</a:t>
            </a:r>
            <a:endParaRPr lang="pt-BR" sz="1600" b="1">
              <a:solidFill>
                <a:schemeClr val="tx1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endParaRPr>
          </a:p>
        </xdr:txBody>
      </xdr:sp>
      <xdr:grpSp>
        <xdr:nvGrpSpPr>
          <xdr:cNvPr id="7" name="Group 9"/>
          <xdr:cNvGrpSpPr/>
        </xdr:nvGrpSpPr>
        <xdr:grpSpPr>
          <a:xfrm>
            <a:off x="1953" y="2045"/>
            <a:ext cx="309" cy="363"/>
            <a:chOff x="3478" y="2387"/>
            <a:chExt cx="309" cy="363"/>
          </a:xfrm>
        </xdr:grpSpPr>
        <xdr:sp>
          <xdr:nvSpPr>
            <xdr:cNvPr id="14" name="Line 10"/>
            <xdr:cNvSpPr>
              <a:spLocks noChangeShapeType="1"/>
            </xdr:cNvSpPr>
          </xdr:nvSpPr>
          <xdr:spPr>
            <a:xfrm flipV="1">
              <a:off x="3478" y="2387"/>
              <a:ext cx="45" cy="181"/>
            </a:xfrm>
            <a:prstGeom prst="line">
              <a:avLst/>
            </a:prstGeom>
            <a:noFill/>
            <a:ln w="50800">
              <a:solidFill>
                <a:schemeClr val="tx1"/>
              </a:solidFill>
              <a:rou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wrap="square" anchor="ctr"/>
            <a:lstStyle>
              <a:defPPr>
                <a:defRPr lang="pt-BR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9pPr>
            </a:lstStyle>
            <a:p>
              <a:endParaRPr lang="pt-BR" sz="1600"/>
            </a:p>
          </xdr:txBody>
        </xdr:sp>
        <xdr:sp>
          <xdr:nvSpPr>
            <xdr:cNvPr id="15" name="Line 11"/>
            <xdr:cNvSpPr>
              <a:spLocks noChangeShapeType="1"/>
            </xdr:cNvSpPr>
          </xdr:nvSpPr>
          <xdr:spPr>
            <a:xfrm>
              <a:off x="3515" y="2387"/>
              <a:ext cx="227" cy="363"/>
            </a:xfrm>
            <a:prstGeom prst="line">
              <a:avLst/>
            </a:prstGeom>
            <a:noFill/>
            <a:ln w="50800">
              <a:solidFill>
                <a:schemeClr val="tx1"/>
              </a:solidFill>
              <a:rou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wrap="square" anchor="ctr"/>
            <a:lstStyle>
              <a:defPPr>
                <a:defRPr lang="pt-BR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9pPr>
            </a:lstStyle>
            <a:p>
              <a:endParaRPr lang="pt-BR" sz="1600"/>
            </a:p>
          </xdr:txBody>
        </xdr:sp>
        <xdr:sp>
          <xdr:nvSpPr>
            <xdr:cNvPr id="16" name="Line 12"/>
            <xdr:cNvSpPr>
              <a:spLocks noChangeShapeType="1"/>
            </xdr:cNvSpPr>
          </xdr:nvSpPr>
          <xdr:spPr>
            <a:xfrm flipV="1">
              <a:off x="3742" y="2568"/>
              <a:ext cx="45" cy="182"/>
            </a:xfrm>
            <a:prstGeom prst="line">
              <a:avLst/>
            </a:prstGeom>
            <a:noFill/>
            <a:ln w="50800">
              <a:solidFill>
                <a:schemeClr val="tx1"/>
              </a:solidFill>
              <a:rou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wrap="square" anchor="ctr"/>
            <a:lstStyle>
              <a:defPPr>
                <a:defRPr lang="pt-BR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9pPr>
            </a:lstStyle>
            <a:p>
              <a:endParaRPr lang="pt-BR" sz="1600"/>
            </a:p>
          </xdr:txBody>
        </xdr:sp>
      </xdr:grpSp>
      <xdr:sp>
        <xdr:nvSpPr>
          <xdr:cNvPr id="8" name="Line 13"/>
          <xdr:cNvSpPr>
            <a:spLocks noChangeShapeType="1"/>
          </xdr:cNvSpPr>
        </xdr:nvSpPr>
        <xdr:spPr>
          <a:xfrm>
            <a:off x="1444" y="2226"/>
            <a:ext cx="517" cy="1"/>
          </a:xfrm>
          <a:prstGeom prst="line">
            <a:avLst/>
          </a:prstGeom>
          <a:noFill/>
          <a:ln w="50800">
            <a:solidFill>
              <a:schemeClr val="tx1"/>
            </a:solidFill>
            <a:round/>
            <a:tailEnd type="none" w="med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endParaRPr lang="pt-BR" sz="1600"/>
          </a:p>
        </xdr:txBody>
      </xdr:sp>
      <xdr:sp>
        <xdr:nvSpPr>
          <xdr:cNvPr id="9" name="Line 14"/>
          <xdr:cNvSpPr>
            <a:spLocks noChangeShapeType="1"/>
          </xdr:cNvSpPr>
        </xdr:nvSpPr>
        <xdr:spPr>
          <a:xfrm>
            <a:off x="2255" y="2226"/>
            <a:ext cx="217" cy="1"/>
          </a:xfrm>
          <a:prstGeom prst="line">
            <a:avLst/>
          </a:prstGeom>
          <a:noFill/>
          <a:ln w="50800">
            <a:solidFill>
              <a:schemeClr val="tx1"/>
            </a:solidFill>
            <a:round/>
            <a:tailEnd type="none" w="med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endParaRPr lang="pt-BR" sz="1600"/>
          </a:p>
        </xdr:txBody>
      </xdr:sp>
      <xdr:sp>
        <xdr:nvSpPr>
          <xdr:cNvPr id="10" name="Text Box 15"/>
          <xdr:cNvSpPr txBox="1">
            <a:spLocks noChangeArrowheads="1"/>
          </xdr:cNvSpPr>
        </xdr:nvSpPr>
        <xdr:spPr>
          <a:xfrm>
            <a:off x="2234" y="2077"/>
            <a:ext cx="317" cy="143"/>
          </a:xfrm>
          <a:prstGeom prst="rect">
            <a:avLst/>
          </a:prstGeom>
          <a:noFill/>
          <a:ln w="9525" algn="ctr">
            <a:noFill/>
            <a:miter lim="800000"/>
          </a:ln>
          <a:effectLst/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>
              <a:spcBef>
                <a:spcPct val="50000"/>
              </a:spcBef>
              <a:defRPr/>
            </a:pPr>
            <a:r>
              <a:rPr lang="pt-BR" sz="1600" b="1" i="1">
                <a:solidFill>
                  <a:schemeClr val="tx1"/>
                </a:solidFill>
                <a:effectLst>
                  <a:outerShdw blurRad="38100" dist="38100" dir="2700000" algn="tl">
                    <a:srgbClr val="C0C0C0"/>
                  </a:outerShdw>
                </a:effectLst>
                <a:latin typeface="Arial" panose="020B0604020202020204" pitchFamily="7" charset="0"/>
              </a:rPr>
              <a:t>5</a:t>
            </a:r>
            <a:endParaRPr lang="pt-BR" sz="1600" b="1" i="1">
              <a:solidFill>
                <a:schemeClr val="tx1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endParaRPr>
          </a:p>
        </xdr:txBody>
      </xdr:sp>
      <xdr:sp>
        <xdr:nvSpPr>
          <xdr:cNvPr id="11" name="Text Box 16"/>
          <xdr:cNvSpPr txBox="1">
            <a:spLocks noChangeArrowheads="1"/>
          </xdr:cNvSpPr>
        </xdr:nvSpPr>
        <xdr:spPr>
          <a:xfrm>
            <a:off x="1062" y="1625"/>
            <a:ext cx="764" cy="143"/>
          </a:xfrm>
          <a:prstGeom prst="rect">
            <a:avLst/>
          </a:prstGeom>
          <a:noFill/>
          <a:ln w="9525" algn="ctr">
            <a:noFill/>
            <a:miter lim="800000"/>
          </a:ln>
          <a:effectLst/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>
              <a:spcBef>
                <a:spcPct val="50000"/>
              </a:spcBef>
              <a:defRPr/>
            </a:pPr>
            <a:r>
              <a:rPr lang="pt-BR" sz="1600" b="1">
                <a:solidFill>
                  <a:schemeClr val="tx1"/>
                </a:solidFill>
                <a:effectLst>
                  <a:outerShdw blurRad="38100" dist="38100" dir="2700000" algn="tl">
                    <a:srgbClr val="C0C0C0"/>
                  </a:outerShdw>
                </a:effectLst>
                <a:latin typeface="Arial" panose="020B0604020202020204" pitchFamily="7" charset="0"/>
              </a:rPr>
              <a:t>10.000</a:t>
            </a:r>
            <a:endParaRPr lang="pt-BR" sz="1600" b="1">
              <a:solidFill>
                <a:schemeClr val="tx1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endParaRPr>
          </a:p>
        </xdr:txBody>
      </xdr:sp>
      <xdr:sp>
        <xdr:nvSpPr>
          <xdr:cNvPr id="12" name="Text Box 17"/>
          <xdr:cNvSpPr txBox="1">
            <a:spLocks noChangeArrowheads="1"/>
          </xdr:cNvSpPr>
        </xdr:nvSpPr>
        <xdr:spPr>
          <a:xfrm>
            <a:off x="2455" y="2574"/>
            <a:ext cx="317" cy="143"/>
          </a:xfrm>
          <a:prstGeom prst="rect">
            <a:avLst/>
          </a:prstGeom>
          <a:noFill/>
          <a:ln w="9525" algn="ctr">
            <a:noFill/>
            <a:miter lim="800000"/>
          </a:ln>
          <a:effectLst/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>
              <a:spcBef>
                <a:spcPct val="50000"/>
              </a:spcBef>
              <a:defRPr/>
            </a:pPr>
            <a:r>
              <a:rPr lang="pt-BR" sz="1600" b="1">
                <a:solidFill>
                  <a:schemeClr val="tx1"/>
                </a:solidFill>
                <a:effectLst>
                  <a:outerShdw blurRad="38100" dist="38100" dir="2700000" algn="tl">
                    <a:srgbClr val="C0C0C0"/>
                  </a:outerShdw>
                </a:effectLst>
                <a:latin typeface="Arial" panose="020B0604020202020204" pitchFamily="7" charset="0"/>
              </a:rPr>
              <a:t>F</a:t>
            </a:r>
            <a:endParaRPr lang="pt-BR" sz="1600" b="1">
              <a:solidFill>
                <a:schemeClr val="tx1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endParaRPr>
          </a:p>
        </xdr:txBody>
      </xdr:sp>
      <xdr:sp>
        <xdr:nvSpPr>
          <xdr:cNvPr id="13" name="Text Box 18"/>
          <xdr:cNvSpPr txBox="1">
            <a:spLocks noChangeArrowheads="1"/>
          </xdr:cNvSpPr>
        </xdr:nvSpPr>
        <xdr:spPr>
          <a:xfrm>
            <a:off x="1106" y="2490"/>
            <a:ext cx="1263" cy="143"/>
          </a:xfrm>
          <a:prstGeom prst="rect">
            <a:avLst/>
          </a:prstGeom>
          <a:noFill/>
          <a:ln w="9525" algn="ctr">
            <a:noFill/>
            <a:miter lim="800000"/>
          </a:ln>
          <a:effectLst/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>
              <a:spcBef>
                <a:spcPct val="50000"/>
              </a:spcBef>
              <a:defRPr/>
            </a:pPr>
            <a:r>
              <a:rPr lang="pt-BR" sz="1600" b="1">
                <a:solidFill>
                  <a:schemeClr val="tx1"/>
                </a:solidFill>
                <a:effectLst>
                  <a:outerShdw blurRad="38100" dist="38100" dir="2700000" algn="tl">
                    <a:srgbClr val="C0C0C0"/>
                  </a:outerShdw>
                </a:effectLst>
                <a:latin typeface="Arial" panose="020B0604020202020204" pitchFamily="7" charset="0"/>
              </a:rPr>
              <a:t>i = 79,6% a.a.</a:t>
            </a:r>
            <a:endParaRPr lang="pt-BR" sz="1600" b="1">
              <a:solidFill>
                <a:schemeClr val="tx1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endParaRPr>
          </a:p>
        </xdr:txBody>
      </xdr:sp>
    </xdr:grpSp>
    <xdr:clientData/>
  </xdr:twoCellAnchor>
  <xdr:twoCellAnchor editAs="oneCell">
    <xdr:from>
      <xdr:col>3</xdr:col>
      <xdr:colOff>44450</xdr:colOff>
      <xdr:row>15</xdr:row>
      <xdr:rowOff>120650</xdr:rowOff>
    </xdr:from>
    <xdr:to>
      <xdr:col>14</xdr:col>
      <xdr:colOff>42391</xdr:colOff>
      <xdr:row>17</xdr:row>
      <xdr:rowOff>234950</xdr:rowOff>
    </xdr:to>
    <xdr:pic>
      <xdr:nvPicPr>
        <xdr:cNvPr id="22" name="Imagem 21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78000" y="4549775"/>
          <a:ext cx="635381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19050</xdr:colOff>
      <xdr:row>15</xdr:row>
      <xdr:rowOff>18932</xdr:rowOff>
    </xdr:to>
    <xdr:pic>
      <xdr:nvPicPr>
        <xdr:cNvPr id="2" name="Imagem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6953250" cy="4447540"/>
        </a:xfrm>
        <a:prstGeom prst="rect">
          <a:avLst/>
        </a:prstGeom>
      </xdr:spPr>
    </xdr:pic>
    <xdr:clientData/>
  </xdr:twoCellAnchor>
  <xdr:twoCellAnchor editAs="oneCell">
    <xdr:from>
      <xdr:col>0</xdr:col>
      <xdr:colOff>342900</xdr:colOff>
      <xdr:row>14</xdr:row>
      <xdr:rowOff>114300</xdr:rowOff>
    </xdr:from>
    <xdr:to>
      <xdr:col>11</xdr:col>
      <xdr:colOff>340841</xdr:colOff>
      <xdr:row>16</xdr:row>
      <xdr:rowOff>228600</xdr:rowOff>
    </xdr:to>
    <xdr:pic>
      <xdr:nvPicPr>
        <xdr:cNvPr id="3" name="Imagem 2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0" y="4248150"/>
          <a:ext cx="635381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177800</xdr:colOff>
      <xdr:row>0</xdr:row>
      <xdr:rowOff>0</xdr:rowOff>
    </xdr:from>
    <xdr:to>
      <xdr:col>11</xdr:col>
      <xdr:colOff>0</xdr:colOff>
      <xdr:row>14</xdr:row>
      <xdr:rowOff>193856</xdr:rowOff>
    </xdr:to>
    <xdr:pic>
      <xdr:nvPicPr>
        <xdr:cNvPr id="2" name="Imagem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7800" y="0"/>
          <a:ext cx="6178550" cy="4327525"/>
        </a:xfrm>
        <a:prstGeom prst="rect">
          <a:avLst/>
        </a:prstGeom>
      </xdr:spPr>
    </xdr:pic>
    <xdr:clientData/>
  </xdr:twoCellAnchor>
  <xdr:twoCellAnchor editAs="oneCell">
    <xdr:from>
      <xdr:col>0</xdr:col>
      <xdr:colOff>88900</xdr:colOff>
      <xdr:row>14</xdr:row>
      <xdr:rowOff>171450</xdr:rowOff>
    </xdr:from>
    <xdr:to>
      <xdr:col>11</xdr:col>
      <xdr:colOff>86841</xdr:colOff>
      <xdr:row>16</xdr:row>
      <xdr:rowOff>285750</xdr:rowOff>
    </xdr:to>
    <xdr:pic>
      <xdr:nvPicPr>
        <xdr:cNvPr id="3" name="Imagem 2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8900" y="4305300"/>
          <a:ext cx="635381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533400</xdr:colOff>
      <xdr:row>14</xdr:row>
      <xdr:rowOff>154718</xdr:rowOff>
    </xdr:to>
    <xdr:pic>
      <xdr:nvPicPr>
        <xdr:cNvPr id="18" name="Imagem 1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6311900" cy="4288155"/>
        </a:xfrm>
        <a:prstGeom prst="rect">
          <a:avLst/>
        </a:prstGeom>
      </xdr:spPr>
    </xdr:pic>
    <xdr:clientData/>
  </xdr:twoCellAnchor>
  <xdr:twoCellAnchor editAs="oneCell">
    <xdr:from>
      <xdr:col>4</xdr:col>
      <xdr:colOff>88900</xdr:colOff>
      <xdr:row>15</xdr:row>
      <xdr:rowOff>234550</xdr:rowOff>
    </xdr:from>
    <xdr:to>
      <xdr:col>7</xdr:col>
      <xdr:colOff>252730</xdr:colOff>
      <xdr:row>23</xdr:row>
      <xdr:rowOff>85090</xdr:rowOff>
    </xdr:to>
    <xdr:pic>
      <xdr:nvPicPr>
        <xdr:cNvPr id="19" name="Imagem 1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400300" y="4663440"/>
          <a:ext cx="1897380" cy="22129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12701</xdr:colOff>
      <xdr:row>1</xdr:row>
      <xdr:rowOff>1</xdr:rowOff>
    </xdr:from>
    <xdr:to>
      <xdr:col>6</xdr:col>
      <xdr:colOff>349251</xdr:colOff>
      <xdr:row>12</xdr:row>
      <xdr:rowOff>101601</xdr:rowOff>
    </xdr:to>
    <xdr:pic>
      <xdr:nvPicPr>
        <xdr:cNvPr id="2" name="Picture 2" descr="Foto 1 - Smart TV LED Philips 43&quot; 43PFG5102/78 com Conversor Digital Wi-Fi integrado 2 USB 3 HDMI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90550" y="295275"/>
          <a:ext cx="3225800" cy="334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367264</xdr:colOff>
      <xdr:row>3</xdr:row>
      <xdr:rowOff>15231</xdr:rowOff>
    </xdr:from>
    <xdr:to>
      <xdr:col>12</xdr:col>
      <xdr:colOff>292100</xdr:colOff>
      <xdr:row>9</xdr:row>
      <xdr:rowOff>152400</xdr:rowOff>
    </xdr:to>
    <xdr:grpSp>
      <xdr:nvGrpSpPr>
        <xdr:cNvPr id="3" name="Grupo 2"/>
        <xdr:cNvGrpSpPr/>
      </xdr:nvGrpSpPr>
      <xdr:grpSpPr>
        <a:xfrm>
          <a:off x="3834130" y="900430"/>
          <a:ext cx="3392170" cy="1909445"/>
          <a:chOff x="4286713" y="3356992"/>
          <a:chExt cx="4773150" cy="2106712"/>
        </a:xfrm>
      </xdr:grpSpPr>
      <xdr:pic>
        <xdr:nvPicPr>
          <xdr:cNvPr id="4" name="Imagem 3"/>
          <xdr:cNvPicPr>
            <a:picLocks noChangeAspect="1"/>
          </xdr:cNvPicPr>
        </xdr:nvPicPr>
        <xdr:blipFill>
          <a:blip r:embed="rId2"/>
          <a:srcRect l="4472" t="51591" r="50098" b="27033"/>
          <a:stretch>
            <a:fillRect/>
          </a:stretch>
        </xdr:blipFill>
        <xdr:spPr>
          <a:xfrm>
            <a:off x="4928803" y="3573016"/>
            <a:ext cx="3168352" cy="942114"/>
          </a:xfrm>
          <a:prstGeom prst="rect">
            <a:avLst/>
          </a:prstGeom>
        </xdr:spPr>
      </xdr:pic>
      <xdr:pic>
        <xdr:nvPicPr>
          <xdr:cNvPr id="5" name="Imagem 4"/>
          <xdr:cNvPicPr>
            <a:picLocks noChangeAspect="1"/>
          </xdr:cNvPicPr>
        </xdr:nvPicPr>
        <xdr:blipFill>
          <a:blip r:embed="rId2"/>
          <a:srcRect l="4472" t="87346" r="33813"/>
          <a:stretch>
            <a:fillRect/>
          </a:stretch>
        </xdr:blipFill>
        <xdr:spPr>
          <a:xfrm>
            <a:off x="4286713" y="4845220"/>
            <a:ext cx="4773150" cy="618484"/>
          </a:xfrm>
          <a:prstGeom prst="rect">
            <a:avLst/>
          </a:prstGeom>
        </xdr:spPr>
      </xdr:pic>
      <xdr:sp>
        <xdr:nvSpPr>
          <xdr:cNvPr id="6" name="Retângulo 5"/>
          <xdr:cNvSpPr/>
        </xdr:nvSpPr>
        <xdr:spPr>
          <a:xfrm>
            <a:off x="6948264" y="3356992"/>
            <a:ext cx="648072" cy="216024"/>
          </a:xfrm>
          <a:prstGeom prst="rect">
            <a:avLst/>
          </a:prstGeom>
          <a:solidFill>
            <a:schemeClr val="bg1"/>
          </a:solidFill>
          <a:ln w="76200" cap="flat" cmpd="sng" algn="ctr">
            <a:noFill/>
            <a:prstDash val="solid"/>
            <a:round/>
            <a:headEnd type="none" w="sm" len="sm"/>
            <a:tailEnd type="none" w="sm" len="sm"/>
          </a:ln>
          <a:effectLst/>
        </xdr:spPr>
        <xdr:txBody>
          <a:bodyPr rot="0" spcFirstLastPara="0" vert="horz" wrap="square" lIns="91440" tIns="45720" rIns="91440" bIns="45720" numCol="1" spcCol="0" rtlCol="0" fromWordArt="0" anchor="t" anchorCtr="0" forceAA="0" compatLnSpc="1">
            <a:no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marL="0" marR="0" indent="0" algn="l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</a:pPr>
            <a:endParaRPr kumimoji="0" lang="pt-BR" sz="2400" b="0" i="0" u="none" strike="noStrike" cap="none" normalizeH="0" baseline="0">
              <a:ln>
                <a:noFill/>
              </a:ln>
              <a:solidFill>
                <a:schemeClr val="tx2"/>
              </a:solidFill>
              <a:effectLst/>
              <a:latin typeface="Times New Roman" panose="02020603050405020304" pitchFamily="18" charset="0"/>
            </a:endParaRPr>
          </a:p>
        </xdr:txBody>
      </xdr:sp>
      <xdr:sp>
        <xdr:nvSpPr>
          <xdr:cNvPr id="7" name="Retângulo 6"/>
          <xdr:cNvSpPr/>
        </xdr:nvSpPr>
        <xdr:spPr>
          <a:xfrm>
            <a:off x="6981750" y="3690979"/>
            <a:ext cx="885684" cy="314085"/>
          </a:xfrm>
          <a:prstGeom prst="rect">
            <a:avLst/>
          </a:prstGeom>
          <a:solidFill>
            <a:schemeClr val="bg1"/>
          </a:solidFill>
          <a:ln w="76200" cap="flat" cmpd="sng" algn="ctr">
            <a:noFill/>
            <a:prstDash val="solid"/>
            <a:round/>
            <a:headEnd type="none" w="sm" len="sm"/>
            <a:tailEnd type="none" w="sm" len="sm"/>
          </a:ln>
          <a:effectLst/>
        </xdr:spPr>
        <xdr:txBody>
          <a:bodyPr rot="0" spcFirstLastPara="0" vert="horz" wrap="square" lIns="91440" tIns="45720" rIns="91440" bIns="45720" numCol="1" spcCol="0" rtlCol="0" fromWordArt="0" anchor="t" anchorCtr="0" forceAA="0" compatLnSpc="1">
            <a:no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marL="0" marR="0" indent="0" algn="l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</a:pPr>
            <a:endParaRPr kumimoji="0" lang="pt-BR" sz="2400" b="0" i="0" u="none" strike="noStrike" cap="none" normalizeH="0" baseline="0">
              <a:ln>
                <a:noFill/>
              </a:ln>
              <a:solidFill>
                <a:schemeClr val="tx2"/>
              </a:solidFill>
              <a:effectLst/>
              <a:latin typeface="Times New Roman" panose="02020603050405020304" pitchFamily="18" charset="0"/>
            </a:endParaRPr>
          </a:p>
        </xdr:txBody>
      </xdr:sp>
      <xdr:sp>
        <xdr:nvSpPr>
          <xdr:cNvPr id="8" name="Retângulo 7"/>
          <xdr:cNvSpPr/>
        </xdr:nvSpPr>
        <xdr:spPr>
          <a:xfrm>
            <a:off x="6904831" y="4845220"/>
            <a:ext cx="629444" cy="286358"/>
          </a:xfrm>
          <a:prstGeom prst="rect">
            <a:avLst/>
          </a:prstGeom>
          <a:solidFill>
            <a:schemeClr val="bg1"/>
          </a:solidFill>
          <a:ln w="76200" cap="flat" cmpd="sng" algn="ctr">
            <a:noFill/>
            <a:prstDash val="solid"/>
            <a:round/>
            <a:headEnd type="none" w="sm" len="sm"/>
            <a:tailEnd type="none" w="sm" len="sm"/>
          </a:ln>
          <a:effectLst/>
        </xdr:spPr>
        <xdr:txBody>
          <a:bodyPr rot="0" spcFirstLastPara="0" vert="horz" wrap="square" lIns="91440" tIns="45720" rIns="91440" bIns="45720" numCol="1" spcCol="0" rtlCol="0" fromWordArt="0" anchor="t" anchorCtr="0" forceAA="0" compatLnSpc="1">
            <a:no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marL="0" marR="0" indent="0" algn="l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</a:pPr>
            <a:endParaRPr kumimoji="0" lang="pt-BR" sz="2400" b="0" i="0" u="none" strike="noStrike" cap="none" normalizeH="0" baseline="0">
              <a:ln>
                <a:noFill/>
              </a:ln>
              <a:solidFill>
                <a:schemeClr val="tx2"/>
              </a:solidFill>
              <a:effectLst/>
              <a:latin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3</xdr:col>
      <xdr:colOff>317572</xdr:colOff>
      <xdr:row>12</xdr:row>
      <xdr:rowOff>146051</xdr:rowOff>
    </xdr:from>
    <xdr:to>
      <xdr:col>9</xdr:col>
      <xdr:colOff>392351</xdr:colOff>
      <xdr:row>21</xdr:row>
      <xdr:rowOff>279403</xdr:rowOff>
    </xdr:to>
    <xdr:grpSp>
      <xdr:nvGrpSpPr>
        <xdr:cNvPr id="9" name="Group 5"/>
        <xdr:cNvGrpSpPr/>
      </xdr:nvGrpSpPr>
      <xdr:grpSpPr>
        <a:xfrm>
          <a:off x="2051050" y="3689350"/>
          <a:ext cx="3541395" cy="2790825"/>
          <a:chOff x="1015" y="1175"/>
          <a:chExt cx="2351" cy="1776"/>
        </a:xfrm>
      </xdr:grpSpPr>
      <xdr:sp>
        <xdr:nvSpPr>
          <xdr:cNvPr id="11" name="Line 20"/>
          <xdr:cNvSpPr>
            <a:spLocks noChangeShapeType="1"/>
          </xdr:cNvSpPr>
        </xdr:nvSpPr>
        <xdr:spPr>
          <a:xfrm flipH="1">
            <a:off x="3218" y="2214"/>
            <a:ext cx="0" cy="479"/>
          </a:xfrm>
          <a:prstGeom prst="line">
            <a:avLst/>
          </a:prstGeom>
          <a:noFill/>
          <a:ln w="50800">
            <a:solidFill>
              <a:srgbClr val="FF0000"/>
            </a:solidFill>
            <a:round/>
            <a:tailEnd type="stealth" w="med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>
        <xdr:nvSpPr>
          <xdr:cNvPr id="12" name="Line 6"/>
          <xdr:cNvSpPr>
            <a:spLocks noChangeShapeType="1"/>
          </xdr:cNvSpPr>
        </xdr:nvSpPr>
        <xdr:spPr>
          <a:xfrm flipH="1">
            <a:off x="1654" y="2226"/>
            <a:ext cx="1" cy="467"/>
          </a:xfrm>
          <a:prstGeom prst="line">
            <a:avLst/>
          </a:prstGeom>
          <a:noFill/>
          <a:ln w="50800">
            <a:solidFill>
              <a:srgbClr val="FF0000"/>
            </a:solidFill>
            <a:round/>
            <a:tailEnd type="stealth" w="med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>
        <xdr:nvSpPr>
          <xdr:cNvPr id="13" name="Line 7"/>
          <xdr:cNvSpPr>
            <a:spLocks noChangeShapeType="1"/>
          </xdr:cNvSpPr>
        </xdr:nvSpPr>
        <xdr:spPr>
          <a:xfrm flipV="1">
            <a:off x="1458" y="1434"/>
            <a:ext cx="1" cy="784"/>
          </a:xfrm>
          <a:prstGeom prst="line">
            <a:avLst/>
          </a:prstGeom>
          <a:noFill/>
          <a:ln w="50800">
            <a:solidFill>
              <a:srgbClr val="0000FF"/>
            </a:solidFill>
            <a:round/>
            <a:tailEnd type="stealth" w="med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>
        <xdr:nvSpPr>
          <xdr:cNvPr id="14" name="Text Box 8"/>
          <xdr:cNvSpPr txBox="1">
            <a:spLocks noChangeArrowheads="1"/>
          </xdr:cNvSpPr>
        </xdr:nvSpPr>
        <xdr:spPr>
          <a:xfrm>
            <a:off x="1244" y="2067"/>
            <a:ext cx="317" cy="173"/>
          </a:xfrm>
          <a:prstGeom prst="rect">
            <a:avLst/>
          </a:prstGeom>
          <a:noFill/>
          <a:ln w="9525" algn="ctr">
            <a:noFill/>
            <a:miter lim="800000"/>
          </a:ln>
          <a:effectLst/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>
              <a:spcBef>
                <a:spcPct val="50000"/>
              </a:spcBef>
              <a:defRPr/>
            </a:pPr>
            <a:r>
              <a:rPr lang="pt-BR" sz="1200" b="1">
                <a:solidFill>
                  <a:schemeClr val="tx1"/>
                </a:solidFill>
                <a:effectLst>
                  <a:outerShdw blurRad="38100" dist="38100" dir="2700000" algn="tl">
                    <a:srgbClr val="C0C0C0"/>
                  </a:outerShdw>
                </a:effectLst>
                <a:latin typeface="Arial" panose="020B0604020202020204" pitchFamily="7" charset="0"/>
              </a:rPr>
              <a:t>0</a:t>
            </a:r>
            <a:endParaRPr lang="pt-BR" sz="1200" b="1">
              <a:solidFill>
                <a:schemeClr val="tx1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endParaRPr>
          </a:p>
        </xdr:txBody>
      </xdr:sp>
      <xdr:sp>
        <xdr:nvSpPr>
          <xdr:cNvPr id="15" name="Line 13"/>
          <xdr:cNvSpPr>
            <a:spLocks noChangeShapeType="1"/>
          </xdr:cNvSpPr>
        </xdr:nvSpPr>
        <xdr:spPr>
          <a:xfrm>
            <a:off x="1444" y="2226"/>
            <a:ext cx="517" cy="1"/>
          </a:xfrm>
          <a:prstGeom prst="line">
            <a:avLst/>
          </a:prstGeom>
          <a:noFill/>
          <a:ln w="50800">
            <a:solidFill>
              <a:schemeClr val="tx1"/>
            </a:solidFill>
            <a:round/>
            <a:tailEnd type="none" w="med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>
        <xdr:nvSpPr>
          <xdr:cNvPr id="16" name="Line 14"/>
          <xdr:cNvSpPr>
            <a:spLocks noChangeShapeType="1"/>
          </xdr:cNvSpPr>
        </xdr:nvSpPr>
        <xdr:spPr>
          <a:xfrm>
            <a:off x="1919" y="2226"/>
            <a:ext cx="1320" cy="5"/>
          </a:xfrm>
          <a:prstGeom prst="line">
            <a:avLst/>
          </a:prstGeom>
          <a:noFill/>
          <a:ln w="50800">
            <a:solidFill>
              <a:schemeClr val="tx1"/>
            </a:solidFill>
            <a:round/>
            <a:tailEnd type="none" w="med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>
        <xdr:nvSpPr>
          <xdr:cNvPr id="17" name="Text Box 15"/>
          <xdr:cNvSpPr txBox="1">
            <a:spLocks noChangeArrowheads="1"/>
          </xdr:cNvSpPr>
        </xdr:nvSpPr>
        <xdr:spPr>
          <a:xfrm>
            <a:off x="3049" y="2065"/>
            <a:ext cx="317" cy="173"/>
          </a:xfrm>
          <a:prstGeom prst="rect">
            <a:avLst/>
          </a:prstGeom>
          <a:noFill/>
          <a:ln w="9525" algn="ctr">
            <a:noFill/>
            <a:miter lim="800000"/>
          </a:ln>
          <a:effectLst/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>
              <a:spcBef>
                <a:spcPct val="50000"/>
              </a:spcBef>
              <a:defRPr/>
            </a:pPr>
            <a:r>
              <a:rPr lang="pt-BR" sz="1200" b="1" i="1">
                <a:solidFill>
                  <a:schemeClr val="tx1"/>
                </a:solidFill>
                <a:effectLst>
                  <a:outerShdw blurRad="38100" dist="38100" dir="2700000" algn="tl">
                    <a:srgbClr val="C0C0C0"/>
                  </a:outerShdw>
                </a:effectLst>
                <a:latin typeface="Arial" panose="020B0604020202020204" pitchFamily="7" charset="0"/>
              </a:rPr>
              <a:t>8</a:t>
            </a:r>
            <a:endParaRPr lang="pt-BR" sz="1200" b="1" i="1">
              <a:solidFill>
                <a:schemeClr val="tx1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endParaRPr>
          </a:p>
        </xdr:txBody>
      </xdr:sp>
      <xdr:sp>
        <xdr:nvSpPr>
          <xdr:cNvPr id="18" name="Text Box 16"/>
          <xdr:cNvSpPr txBox="1">
            <a:spLocks noChangeArrowheads="1"/>
          </xdr:cNvSpPr>
        </xdr:nvSpPr>
        <xdr:spPr>
          <a:xfrm>
            <a:off x="1980" y="2701"/>
            <a:ext cx="764" cy="250"/>
          </a:xfrm>
          <a:prstGeom prst="rect">
            <a:avLst/>
          </a:prstGeom>
          <a:noFill/>
          <a:ln w="9525" algn="ctr">
            <a:noFill/>
            <a:miter lim="800000"/>
          </a:ln>
          <a:effectLst/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>
              <a:spcBef>
                <a:spcPct val="50000"/>
              </a:spcBef>
              <a:defRPr/>
            </a:pPr>
            <a:r>
              <a:rPr lang="pt-BR" sz="2000" b="1">
                <a:solidFill>
                  <a:schemeClr val="tx1"/>
                </a:solidFill>
                <a:effectLst>
                  <a:outerShdw blurRad="38100" dist="38100" dir="2700000" algn="tl">
                    <a:srgbClr val="C0C0C0"/>
                  </a:outerShdw>
                </a:effectLst>
                <a:latin typeface="Arial" panose="020B0604020202020204" pitchFamily="7" charset="0"/>
              </a:rPr>
              <a:t>212,49 $</a:t>
            </a:r>
            <a:endParaRPr lang="pt-BR" sz="2000" b="1">
              <a:solidFill>
                <a:schemeClr val="tx1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endParaRPr>
          </a:p>
        </xdr:txBody>
      </xdr:sp>
      <xdr:sp>
        <xdr:nvSpPr>
          <xdr:cNvPr id="19" name="Text Box 17"/>
          <xdr:cNvSpPr txBox="1">
            <a:spLocks noChangeArrowheads="1"/>
          </xdr:cNvSpPr>
        </xdr:nvSpPr>
        <xdr:spPr>
          <a:xfrm>
            <a:off x="1015" y="1175"/>
            <a:ext cx="996" cy="250"/>
          </a:xfrm>
          <a:prstGeom prst="rect">
            <a:avLst/>
          </a:prstGeom>
          <a:noFill/>
          <a:ln w="9525" algn="ctr">
            <a:noFill/>
            <a:miter lim="800000"/>
          </a:ln>
          <a:effectLst/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>
              <a:spcBef>
                <a:spcPct val="50000"/>
              </a:spcBef>
              <a:defRPr/>
            </a:pPr>
            <a:r>
              <a:rPr lang="pt-BR" sz="2000" b="1">
                <a:solidFill>
                  <a:schemeClr val="tx1"/>
                </a:solidFill>
                <a:effectLst>
                  <a:outerShdw blurRad="38100" dist="38100" dir="2700000" algn="tl">
                    <a:srgbClr val="C0C0C0"/>
                  </a:outerShdw>
                </a:effectLst>
                <a:latin typeface="Arial" panose="020B0604020202020204" pitchFamily="7" charset="0"/>
              </a:rPr>
              <a:t>1.529,99 $</a:t>
            </a:r>
            <a:endParaRPr lang="pt-BR" sz="2000" b="1">
              <a:solidFill>
                <a:schemeClr val="tx1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endParaRPr>
          </a:p>
        </xdr:txBody>
      </xdr:sp>
      <xdr:sp>
        <xdr:nvSpPr>
          <xdr:cNvPr id="20" name="Text Box 18"/>
          <xdr:cNvSpPr txBox="1">
            <a:spLocks noChangeArrowheads="1"/>
          </xdr:cNvSpPr>
        </xdr:nvSpPr>
        <xdr:spPr>
          <a:xfrm>
            <a:off x="1643" y="1701"/>
            <a:ext cx="1043" cy="250"/>
          </a:xfrm>
          <a:prstGeom prst="rect">
            <a:avLst/>
          </a:prstGeom>
          <a:noFill/>
          <a:ln w="9525" algn="ctr">
            <a:noFill/>
            <a:miter lim="800000"/>
          </a:ln>
          <a:effectLst/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>
              <a:spcBef>
                <a:spcPct val="50000"/>
              </a:spcBef>
              <a:defRPr/>
            </a:pPr>
            <a:endParaRPr lang="pt-BR" sz="2000" b="1">
              <a:solidFill>
                <a:schemeClr val="tx1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endParaRPr>
          </a:p>
        </xdr:txBody>
      </xdr:sp>
      <xdr:sp>
        <xdr:nvSpPr>
          <xdr:cNvPr id="21" name="Line 21"/>
          <xdr:cNvSpPr>
            <a:spLocks noChangeShapeType="1"/>
          </xdr:cNvSpPr>
        </xdr:nvSpPr>
        <xdr:spPr>
          <a:xfrm flipV="1">
            <a:off x="1638" y="2691"/>
            <a:ext cx="1585" cy="2"/>
          </a:xfrm>
          <a:prstGeom prst="line">
            <a:avLst/>
          </a:prstGeom>
          <a:noFill/>
          <a:ln w="25400">
            <a:solidFill>
              <a:schemeClr val="tx1"/>
            </a:solidFill>
            <a:prstDash val="dash"/>
            <a:rou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>
        <xdr:nvSpPr>
          <xdr:cNvPr id="22" name="Text Box 22"/>
          <xdr:cNvSpPr txBox="1">
            <a:spLocks noChangeArrowheads="1"/>
          </xdr:cNvSpPr>
        </xdr:nvSpPr>
        <xdr:spPr>
          <a:xfrm>
            <a:off x="1444" y="2069"/>
            <a:ext cx="317" cy="173"/>
          </a:xfrm>
          <a:prstGeom prst="rect">
            <a:avLst/>
          </a:prstGeom>
          <a:noFill/>
          <a:ln w="9525" algn="ctr">
            <a:noFill/>
            <a:miter lim="800000"/>
          </a:ln>
          <a:effectLst/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>
              <a:spcBef>
                <a:spcPct val="50000"/>
              </a:spcBef>
              <a:defRPr/>
            </a:pPr>
            <a:r>
              <a:rPr lang="pt-BR" sz="1200" b="1">
                <a:solidFill>
                  <a:schemeClr val="tx1"/>
                </a:solidFill>
                <a:effectLst>
                  <a:outerShdw blurRad="38100" dist="38100" dir="2700000" algn="tl">
                    <a:srgbClr val="C0C0C0"/>
                  </a:outerShdw>
                </a:effectLst>
                <a:latin typeface="Arial" panose="020B0604020202020204" pitchFamily="7" charset="0"/>
              </a:rPr>
              <a:t>1</a:t>
            </a:r>
            <a:endParaRPr lang="pt-BR" sz="1200" b="1">
              <a:solidFill>
                <a:schemeClr val="tx1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endParaRP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196850</xdr:colOff>
      <xdr:row>0</xdr:row>
      <xdr:rowOff>171450</xdr:rowOff>
    </xdr:from>
    <xdr:to>
      <xdr:col>10</xdr:col>
      <xdr:colOff>381000</xdr:colOff>
      <xdr:row>12</xdr:row>
      <xdr:rowOff>125379</xdr:rowOff>
    </xdr:to>
    <xdr:pic>
      <xdr:nvPicPr>
        <xdr:cNvPr id="2" name="Imagem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6850" y="171450"/>
          <a:ext cx="5962650" cy="3496945"/>
        </a:xfrm>
        <a:prstGeom prst="rect">
          <a:avLst/>
        </a:prstGeom>
      </xdr:spPr>
    </xdr:pic>
    <xdr:clientData/>
  </xdr:twoCellAnchor>
  <xdr:twoCellAnchor>
    <xdr:from>
      <xdr:col>1</xdr:col>
      <xdr:colOff>203200</xdr:colOff>
      <xdr:row>14</xdr:row>
      <xdr:rowOff>222250</xdr:rowOff>
    </xdr:from>
    <xdr:to>
      <xdr:col>7</xdr:col>
      <xdr:colOff>277979</xdr:colOff>
      <xdr:row>22</xdr:row>
      <xdr:rowOff>273052</xdr:rowOff>
    </xdr:to>
    <xdr:grpSp>
      <xdr:nvGrpSpPr>
        <xdr:cNvPr id="3" name="Group 5"/>
        <xdr:cNvGrpSpPr/>
      </xdr:nvGrpSpPr>
      <xdr:grpSpPr>
        <a:xfrm>
          <a:off x="781050" y="4356100"/>
          <a:ext cx="3541395" cy="2413000"/>
          <a:chOff x="1015" y="1175"/>
          <a:chExt cx="2351" cy="1536"/>
        </a:xfrm>
      </xdr:grpSpPr>
      <xdr:sp>
        <xdr:nvSpPr>
          <xdr:cNvPr id="5" name="Line 6"/>
          <xdr:cNvSpPr>
            <a:spLocks noChangeShapeType="1"/>
          </xdr:cNvSpPr>
        </xdr:nvSpPr>
        <xdr:spPr>
          <a:xfrm flipH="1">
            <a:off x="1655" y="2226"/>
            <a:ext cx="0" cy="261"/>
          </a:xfrm>
          <a:prstGeom prst="line">
            <a:avLst/>
          </a:prstGeom>
          <a:noFill/>
          <a:ln w="50800">
            <a:solidFill>
              <a:srgbClr val="FF0000"/>
            </a:solidFill>
            <a:round/>
            <a:tailEnd type="stealth" w="med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>
        <xdr:nvSpPr>
          <xdr:cNvPr id="6" name="Line 7"/>
          <xdr:cNvSpPr>
            <a:spLocks noChangeShapeType="1"/>
          </xdr:cNvSpPr>
        </xdr:nvSpPr>
        <xdr:spPr>
          <a:xfrm flipV="1">
            <a:off x="1458" y="1434"/>
            <a:ext cx="1" cy="784"/>
          </a:xfrm>
          <a:prstGeom prst="line">
            <a:avLst/>
          </a:prstGeom>
          <a:noFill/>
          <a:ln w="50800">
            <a:solidFill>
              <a:srgbClr val="0000FF"/>
            </a:solidFill>
            <a:round/>
            <a:tailEnd type="stealth" w="med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>
        <xdr:nvSpPr>
          <xdr:cNvPr id="7" name="Text Box 8"/>
          <xdr:cNvSpPr txBox="1">
            <a:spLocks noChangeArrowheads="1"/>
          </xdr:cNvSpPr>
        </xdr:nvSpPr>
        <xdr:spPr>
          <a:xfrm>
            <a:off x="1244" y="2067"/>
            <a:ext cx="317" cy="173"/>
          </a:xfrm>
          <a:prstGeom prst="rect">
            <a:avLst/>
          </a:prstGeom>
          <a:noFill/>
          <a:ln w="9525" algn="ctr">
            <a:noFill/>
            <a:miter lim="800000"/>
          </a:ln>
          <a:effectLst/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>
              <a:spcBef>
                <a:spcPct val="50000"/>
              </a:spcBef>
              <a:defRPr/>
            </a:pPr>
            <a:r>
              <a:rPr lang="pt-BR" sz="1200" b="1">
                <a:solidFill>
                  <a:schemeClr val="tx1"/>
                </a:solidFill>
                <a:effectLst>
                  <a:outerShdw blurRad="38100" dist="38100" dir="2700000" algn="tl">
                    <a:srgbClr val="C0C0C0"/>
                  </a:outerShdw>
                </a:effectLst>
                <a:latin typeface="Arial" panose="020B0604020202020204" pitchFamily="7" charset="0"/>
              </a:rPr>
              <a:t>0</a:t>
            </a:r>
            <a:endParaRPr lang="pt-BR" sz="1200" b="1">
              <a:solidFill>
                <a:schemeClr val="tx1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endParaRPr>
          </a:p>
        </xdr:txBody>
      </xdr:sp>
      <xdr:sp>
        <xdr:nvSpPr>
          <xdr:cNvPr id="8" name="Line 13"/>
          <xdr:cNvSpPr>
            <a:spLocks noChangeShapeType="1"/>
          </xdr:cNvSpPr>
        </xdr:nvSpPr>
        <xdr:spPr>
          <a:xfrm>
            <a:off x="1444" y="2226"/>
            <a:ext cx="517" cy="1"/>
          </a:xfrm>
          <a:prstGeom prst="line">
            <a:avLst/>
          </a:prstGeom>
          <a:noFill/>
          <a:ln w="50800">
            <a:solidFill>
              <a:schemeClr val="tx1"/>
            </a:solidFill>
            <a:round/>
            <a:tailEnd type="none" w="med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>
        <xdr:nvSpPr>
          <xdr:cNvPr id="9" name="Line 14"/>
          <xdr:cNvSpPr>
            <a:spLocks noChangeShapeType="1"/>
          </xdr:cNvSpPr>
        </xdr:nvSpPr>
        <xdr:spPr>
          <a:xfrm>
            <a:off x="1919" y="2226"/>
            <a:ext cx="1320" cy="5"/>
          </a:xfrm>
          <a:prstGeom prst="line">
            <a:avLst/>
          </a:prstGeom>
          <a:noFill/>
          <a:ln w="50800">
            <a:solidFill>
              <a:schemeClr val="tx1"/>
            </a:solidFill>
            <a:round/>
            <a:tailEnd type="none" w="med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>
        <xdr:nvSpPr>
          <xdr:cNvPr id="10" name="Text Box 15"/>
          <xdr:cNvSpPr txBox="1">
            <a:spLocks noChangeArrowheads="1"/>
          </xdr:cNvSpPr>
        </xdr:nvSpPr>
        <xdr:spPr>
          <a:xfrm>
            <a:off x="3049" y="2065"/>
            <a:ext cx="317" cy="173"/>
          </a:xfrm>
          <a:prstGeom prst="rect">
            <a:avLst/>
          </a:prstGeom>
          <a:noFill/>
          <a:ln w="9525" algn="ctr">
            <a:noFill/>
            <a:miter lim="800000"/>
          </a:ln>
          <a:effectLst/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>
              <a:spcBef>
                <a:spcPct val="50000"/>
              </a:spcBef>
              <a:defRPr/>
            </a:pPr>
            <a:r>
              <a:rPr lang="pt-BR" sz="1200" b="1" i="1">
                <a:solidFill>
                  <a:schemeClr val="tx1"/>
                </a:solidFill>
                <a:effectLst>
                  <a:outerShdw blurRad="38100" dist="38100" dir="2700000" algn="tl">
                    <a:srgbClr val="C0C0C0"/>
                  </a:outerShdw>
                </a:effectLst>
                <a:latin typeface="Arial" panose="020B0604020202020204" pitchFamily="7" charset="0"/>
              </a:rPr>
              <a:t>24</a:t>
            </a:r>
            <a:endParaRPr lang="pt-BR" sz="1200" b="1" i="1">
              <a:solidFill>
                <a:schemeClr val="tx1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endParaRPr>
          </a:p>
        </xdr:txBody>
      </xdr:sp>
      <xdr:sp>
        <xdr:nvSpPr>
          <xdr:cNvPr id="11" name="Text Box 16"/>
          <xdr:cNvSpPr txBox="1">
            <a:spLocks noChangeArrowheads="1"/>
          </xdr:cNvSpPr>
        </xdr:nvSpPr>
        <xdr:spPr>
          <a:xfrm>
            <a:off x="1992" y="2461"/>
            <a:ext cx="764" cy="250"/>
          </a:xfrm>
          <a:prstGeom prst="rect">
            <a:avLst/>
          </a:prstGeom>
          <a:noFill/>
          <a:ln w="9525" algn="ctr">
            <a:noFill/>
            <a:miter lim="800000"/>
          </a:ln>
          <a:effectLst/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>
              <a:spcBef>
                <a:spcPct val="50000"/>
              </a:spcBef>
              <a:defRPr/>
            </a:pPr>
            <a:r>
              <a:rPr lang="pt-BR" sz="2000" b="1">
                <a:solidFill>
                  <a:schemeClr val="tx1"/>
                </a:solidFill>
                <a:effectLst>
                  <a:outerShdw blurRad="38100" dist="38100" dir="2700000" algn="tl">
                    <a:srgbClr val="C0C0C0"/>
                  </a:outerShdw>
                </a:effectLst>
                <a:latin typeface="Arial" panose="020B0604020202020204" pitchFamily="7" charset="0"/>
              </a:rPr>
              <a:t>749,08 $</a:t>
            </a:r>
            <a:endParaRPr lang="pt-BR" sz="2000" b="1">
              <a:solidFill>
                <a:schemeClr val="tx1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endParaRPr>
          </a:p>
        </xdr:txBody>
      </xdr:sp>
      <xdr:sp>
        <xdr:nvSpPr>
          <xdr:cNvPr id="12" name="Text Box 17"/>
          <xdr:cNvSpPr txBox="1">
            <a:spLocks noChangeArrowheads="1"/>
          </xdr:cNvSpPr>
        </xdr:nvSpPr>
        <xdr:spPr>
          <a:xfrm>
            <a:off x="1015" y="1175"/>
            <a:ext cx="996" cy="250"/>
          </a:xfrm>
          <a:prstGeom prst="rect">
            <a:avLst/>
          </a:prstGeom>
          <a:noFill/>
          <a:ln w="9525" algn="ctr">
            <a:noFill/>
            <a:miter lim="800000"/>
          </a:ln>
          <a:effectLst/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>
              <a:spcBef>
                <a:spcPct val="50000"/>
              </a:spcBef>
              <a:defRPr/>
            </a:pPr>
            <a:r>
              <a:rPr lang="pt-BR" sz="2000" b="1">
                <a:solidFill>
                  <a:schemeClr val="tx1"/>
                </a:solidFill>
                <a:effectLst>
                  <a:outerShdw blurRad="38100" dist="38100" dir="2700000" algn="tl">
                    <a:srgbClr val="C0C0C0"/>
                  </a:outerShdw>
                </a:effectLst>
                <a:latin typeface="Arial" panose="020B0604020202020204" pitchFamily="7" charset="0"/>
              </a:rPr>
              <a:t>35.455,00 $</a:t>
            </a:r>
            <a:endParaRPr lang="pt-BR" sz="2000" b="1">
              <a:solidFill>
                <a:schemeClr val="tx1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endParaRPr>
          </a:p>
        </xdr:txBody>
      </xdr:sp>
      <xdr:sp>
        <xdr:nvSpPr>
          <xdr:cNvPr id="13" name="Text Box 18"/>
          <xdr:cNvSpPr txBox="1">
            <a:spLocks noChangeArrowheads="1"/>
          </xdr:cNvSpPr>
        </xdr:nvSpPr>
        <xdr:spPr>
          <a:xfrm>
            <a:off x="1643" y="1701"/>
            <a:ext cx="1043" cy="250"/>
          </a:xfrm>
          <a:prstGeom prst="rect">
            <a:avLst/>
          </a:prstGeom>
          <a:noFill/>
          <a:ln w="9525" algn="ctr">
            <a:noFill/>
            <a:miter lim="800000"/>
          </a:ln>
          <a:effectLst/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>
              <a:spcBef>
                <a:spcPct val="50000"/>
              </a:spcBef>
              <a:defRPr/>
            </a:pPr>
            <a:endParaRPr lang="pt-BR" sz="2000" b="1">
              <a:solidFill>
                <a:schemeClr val="tx1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endParaRPr>
          </a:p>
        </xdr:txBody>
      </xdr:sp>
      <xdr:sp>
        <xdr:nvSpPr>
          <xdr:cNvPr id="14" name="Line 21"/>
          <xdr:cNvSpPr>
            <a:spLocks noChangeShapeType="1"/>
          </xdr:cNvSpPr>
        </xdr:nvSpPr>
        <xdr:spPr>
          <a:xfrm flipV="1">
            <a:off x="1638" y="2463"/>
            <a:ext cx="1585" cy="2"/>
          </a:xfrm>
          <a:prstGeom prst="line">
            <a:avLst/>
          </a:prstGeom>
          <a:noFill/>
          <a:ln w="25400">
            <a:solidFill>
              <a:schemeClr val="tx1"/>
            </a:solidFill>
            <a:prstDash val="dash"/>
            <a:rou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>
        <xdr:nvSpPr>
          <xdr:cNvPr id="15" name="Text Box 22"/>
          <xdr:cNvSpPr txBox="1">
            <a:spLocks noChangeArrowheads="1"/>
          </xdr:cNvSpPr>
        </xdr:nvSpPr>
        <xdr:spPr>
          <a:xfrm>
            <a:off x="1444" y="2069"/>
            <a:ext cx="317" cy="173"/>
          </a:xfrm>
          <a:prstGeom prst="rect">
            <a:avLst/>
          </a:prstGeom>
          <a:noFill/>
          <a:ln w="9525" algn="ctr">
            <a:noFill/>
            <a:miter lim="800000"/>
          </a:ln>
          <a:effectLst/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>
              <a:spcBef>
                <a:spcPct val="50000"/>
              </a:spcBef>
              <a:defRPr/>
            </a:pPr>
            <a:r>
              <a:rPr lang="pt-BR" sz="1200" b="1">
                <a:solidFill>
                  <a:schemeClr val="tx1"/>
                </a:solidFill>
                <a:effectLst>
                  <a:outerShdw blurRad="38100" dist="38100" dir="2700000" algn="tl">
                    <a:srgbClr val="C0C0C0"/>
                  </a:outerShdw>
                </a:effectLst>
                <a:latin typeface="Arial" panose="020B0604020202020204" pitchFamily="7" charset="0"/>
              </a:rPr>
              <a:t>1</a:t>
            </a:r>
            <a:endParaRPr lang="pt-BR" sz="1200" b="1">
              <a:solidFill>
                <a:schemeClr val="tx1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endParaRPr>
          </a:p>
        </xdr:txBody>
      </xdr:sp>
    </xdr:grpSp>
    <xdr:clientData/>
  </xdr:twoCellAnchor>
  <xdr:twoCellAnchor>
    <xdr:from>
      <xdr:col>7</xdr:col>
      <xdr:colOff>50800</xdr:colOff>
      <xdr:row>20</xdr:row>
      <xdr:rowOff>82550</xdr:rowOff>
    </xdr:from>
    <xdr:to>
      <xdr:col>7</xdr:col>
      <xdr:colOff>50800</xdr:colOff>
      <xdr:row>21</xdr:row>
      <xdr:rowOff>198438</xdr:rowOff>
    </xdr:to>
    <xdr:sp>
      <xdr:nvSpPr>
        <xdr:cNvPr id="17" name="Line 6"/>
        <xdr:cNvSpPr>
          <a:spLocks noChangeShapeType="1"/>
        </xdr:cNvSpPr>
      </xdr:nvSpPr>
      <xdr:spPr>
        <a:xfrm flipH="1">
          <a:off x="4095750" y="5988050"/>
          <a:ext cx="0" cy="410845"/>
        </a:xfrm>
        <a:prstGeom prst="line">
          <a:avLst/>
        </a:prstGeom>
        <a:noFill/>
        <a:ln w="50800">
          <a:solidFill>
            <a:srgbClr val="FF0000"/>
          </a:solidFill>
          <a:round/>
          <a:tailEnd type="stealth" w="med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wrap="square" anchor="ctr"/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endParaRPr lang="pt-BR"/>
        </a:p>
      </xdr:txBody>
    </xdr:sp>
    <xdr:clientData/>
  </xdr:twoCellAnchor>
  <xdr:twoCellAnchor>
    <xdr:from>
      <xdr:col>7</xdr:col>
      <xdr:colOff>50800</xdr:colOff>
      <xdr:row>21</xdr:row>
      <xdr:rowOff>177801</xdr:rowOff>
    </xdr:from>
    <xdr:to>
      <xdr:col>7</xdr:col>
      <xdr:colOff>50800</xdr:colOff>
      <xdr:row>23</xdr:row>
      <xdr:rowOff>82551</xdr:rowOff>
    </xdr:to>
    <xdr:sp>
      <xdr:nvSpPr>
        <xdr:cNvPr id="19" name="Line 7"/>
        <xdr:cNvSpPr>
          <a:spLocks noChangeShapeType="1"/>
        </xdr:cNvSpPr>
      </xdr:nvSpPr>
      <xdr:spPr>
        <a:xfrm flipH="1">
          <a:off x="4095750" y="6378575"/>
          <a:ext cx="0" cy="495300"/>
        </a:xfrm>
        <a:prstGeom prst="line">
          <a:avLst/>
        </a:prstGeom>
        <a:noFill/>
        <a:ln w="50800">
          <a:solidFill>
            <a:srgbClr val="FF0000"/>
          </a:solidFill>
          <a:round/>
          <a:tailEnd type="stealth" w="med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wrap="square" anchor="ctr"/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endParaRPr lang="pt-BR"/>
        </a:p>
      </xdr:txBody>
    </xdr:sp>
    <xdr:clientData/>
  </xdr:twoCellAnchor>
  <xdr:twoCellAnchor>
    <xdr:from>
      <xdr:col>5</xdr:col>
      <xdr:colOff>495300</xdr:colOff>
      <xdr:row>23</xdr:row>
      <xdr:rowOff>19050</xdr:rowOff>
    </xdr:from>
    <xdr:to>
      <xdr:col>8</xdr:col>
      <xdr:colOff>247721</xdr:colOff>
      <xdr:row>24</xdr:row>
      <xdr:rowOff>117475</xdr:rowOff>
    </xdr:to>
    <xdr:sp>
      <xdr:nvSpPr>
        <xdr:cNvPr id="20" name="Text Box 17"/>
        <xdr:cNvSpPr txBox="1">
          <a:spLocks noChangeArrowheads="1"/>
        </xdr:cNvSpPr>
      </xdr:nvSpPr>
      <xdr:spPr>
        <a:xfrm>
          <a:off x="3384550" y="6810375"/>
          <a:ext cx="1485900" cy="393700"/>
        </a:xfrm>
        <a:prstGeom prst="rect">
          <a:avLst/>
        </a:prstGeom>
        <a:noFill/>
        <a:ln w="9525" algn="ctr">
          <a:noFill/>
          <a:miter lim="800000"/>
        </a:ln>
        <a:effectLst/>
      </xdr:spPr>
      <xdr:txBody>
        <a:bodyPr wrap="square">
          <a:noAutofit/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algn="ctr">
            <a:spcBef>
              <a:spcPct val="50000"/>
            </a:spcBef>
            <a:defRPr/>
          </a:pPr>
          <a:r>
            <a:rPr lang="pt-BR" sz="2000" b="1">
              <a:solidFill>
                <a:schemeClr val="tx1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rPr>
            <a:t>20.000,00 $</a:t>
          </a:r>
          <a:endParaRPr lang="pt-BR" sz="2000" b="1">
            <a:solidFill>
              <a:schemeClr val="tx1"/>
            </a:solidFill>
            <a:effectLst>
              <a:outerShdw blurRad="38100" dist="38100" dir="2700000" algn="tl">
                <a:srgbClr val="C0C0C0"/>
              </a:outerShdw>
            </a:effectLst>
            <a:latin typeface="Arial" panose="020B0604020202020204" pitchFamily="7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P3:R8"/>
  <sheetViews>
    <sheetView tabSelected="1" topLeftCell="D1" workbookViewId="0">
      <selection activeCell="Q6" sqref="Q6"/>
    </sheetView>
  </sheetViews>
  <sheetFormatPr defaultColWidth="8.66666666666667" defaultRowHeight="23.25" outlineLevelRow="7"/>
  <cols>
    <col min="1" max="3" width="8.66666666666667" style="19"/>
    <col min="4" max="14" width="8.66666666666667" style="20"/>
    <col min="15" max="15" width="8.66666666666667" style="21"/>
    <col min="16" max="16" width="18.4380952380952" style="15" customWidth="1"/>
    <col min="17" max="17" width="28.552380952381" style="15" customWidth="1"/>
    <col min="18" max="18" width="12.552380952381" style="15" customWidth="1"/>
    <col min="19" max="23" width="8.66666666666667" style="2"/>
    <col min="24" max="16384" width="8.66666666666667" style="19"/>
  </cols>
  <sheetData>
    <row r="3" spans="16:18">
      <c r="P3" s="15" t="s">
        <v>0</v>
      </c>
      <c r="Q3" s="22">
        <v>10000</v>
      </c>
      <c r="R3" s="15" t="s">
        <v>1</v>
      </c>
    </row>
    <row r="4" spans="16:18">
      <c r="P4" s="15" t="s">
        <v>2</v>
      </c>
      <c r="Q4" s="15">
        <v>5</v>
      </c>
      <c r="R4" s="17" t="s">
        <v>3</v>
      </c>
    </row>
    <row r="5" spans="16:18">
      <c r="P5" s="15" t="s">
        <v>4</v>
      </c>
      <c r="Q5" s="23">
        <v>0.13</v>
      </c>
      <c r="R5" s="15" t="s">
        <v>5</v>
      </c>
    </row>
    <row r="6" spans="16:18">
      <c r="P6" s="15" t="s">
        <v>4</v>
      </c>
      <c r="Q6" s="24">
        <f>(1+Q5)^(1/12)-1</f>
        <v>0.0102368443581764</v>
      </c>
      <c r="R6" s="17" t="s">
        <v>6</v>
      </c>
    </row>
    <row r="8" spans="16:17">
      <c r="P8" s="15" t="s">
        <v>7</v>
      </c>
      <c r="Q8" s="25">
        <f>FV(Q6,Q4,,Q3)</f>
        <v>-10522.4293412979</v>
      </c>
    </row>
  </sheetData>
  <pageMargins left="0.511811024" right="0.511811024" top="0.787401575" bottom="0.787401575" header="0.31496062" footer="0.31496062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N3:P8"/>
  <sheetViews>
    <sheetView workbookViewId="0">
      <selection activeCell="T13" sqref="T13"/>
    </sheetView>
  </sheetViews>
  <sheetFormatPr defaultColWidth="8.66666666666667" defaultRowHeight="23.25" outlineLevelRow="7"/>
  <cols>
    <col min="1" max="12" width="8.66666666666667" style="11"/>
    <col min="13" max="13" width="8.66666666666667" style="2"/>
    <col min="14" max="14" width="17.4380952380952" style="2" customWidth="1"/>
    <col min="15" max="15" width="26.4380952380952" style="2" customWidth="1"/>
    <col min="16" max="16384" width="8.66666666666667" style="2"/>
  </cols>
  <sheetData>
    <row r="3" spans="14:15">
      <c r="N3" s="2" t="s">
        <v>7</v>
      </c>
      <c r="O3" s="18">
        <v>400000</v>
      </c>
    </row>
    <row r="4" spans="14:16">
      <c r="N4" s="2" t="s">
        <v>2</v>
      </c>
      <c r="O4" s="2">
        <v>5</v>
      </c>
      <c r="P4" s="17" t="s">
        <v>8</v>
      </c>
    </row>
    <row r="5" spans="14:16">
      <c r="N5" s="2" t="s">
        <v>4</v>
      </c>
      <c r="O5" s="16">
        <v>0.007974</v>
      </c>
      <c r="P5" s="15" t="s">
        <v>6</v>
      </c>
    </row>
    <row r="6" spans="14:16">
      <c r="N6" s="2" t="s">
        <v>4</v>
      </c>
      <c r="O6" s="9">
        <f>(1+O5)^(12/1)-1</f>
        <v>0.0999981610042999</v>
      </c>
      <c r="P6" s="17" t="s">
        <v>5</v>
      </c>
    </row>
    <row r="8" spans="14:15">
      <c r="N8" s="2" t="s">
        <v>0</v>
      </c>
      <c r="O8" s="13">
        <f>PV(O6,O4,,O3)</f>
        <v>-248370.605364335</v>
      </c>
    </row>
  </sheetData>
  <pageMargins left="0.511811024" right="0.511811024" top="0.787401575" bottom="0.787401575" header="0.31496062" footer="0.31496062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M2:O7"/>
  <sheetViews>
    <sheetView workbookViewId="0">
      <selection activeCell="N6" sqref="N6"/>
    </sheetView>
  </sheetViews>
  <sheetFormatPr defaultColWidth="8.66666666666667" defaultRowHeight="23.25" outlineLevelRow="6"/>
  <cols>
    <col min="1" max="11" width="8.66666666666667" style="11"/>
    <col min="12" max="12" width="8.66666666666667" style="2"/>
    <col min="13" max="13" width="17.6666666666667" style="2" customWidth="1"/>
    <col min="14" max="14" width="26.552380952381" style="2" customWidth="1"/>
    <col min="15" max="15" width="12.1047619047619" style="2" customWidth="1"/>
    <col min="16" max="16384" width="8.66666666666667" style="2"/>
  </cols>
  <sheetData>
    <row r="2" spans="13:15">
      <c r="M2" s="2" t="s">
        <v>9</v>
      </c>
      <c r="N2" s="3">
        <v>100000</v>
      </c>
      <c r="O2" s="14" t="s">
        <v>10</v>
      </c>
    </row>
    <row r="3" spans="13:15">
      <c r="M3" s="2" t="s">
        <v>2</v>
      </c>
      <c r="N3" s="2">
        <v>10</v>
      </c>
      <c r="O3" s="15" t="s">
        <v>8</v>
      </c>
    </row>
    <row r="4" spans="13:15">
      <c r="M4" s="2" t="s">
        <v>4</v>
      </c>
      <c r="N4" s="16">
        <v>0.004868</v>
      </c>
      <c r="O4" s="17" t="s">
        <v>6</v>
      </c>
    </row>
    <row r="5" spans="13:15">
      <c r="M5" s="2" t="s">
        <v>4</v>
      </c>
      <c r="N5" s="9">
        <f>(1+N4)^(12/1)-1</f>
        <v>0.060005689130769</v>
      </c>
      <c r="O5" s="17" t="s">
        <v>5</v>
      </c>
    </row>
    <row r="7" spans="13:14">
      <c r="M7" s="2" t="s">
        <v>0</v>
      </c>
      <c r="N7" s="13">
        <f>PV(N5,N3,N2)</f>
        <v>-735988.867437176</v>
      </c>
    </row>
  </sheetData>
  <pageMargins left="0.511811024" right="0.511811024" top="0.787401575" bottom="0.787401575" header="0.31496062" footer="0.31496062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M7:O21"/>
  <sheetViews>
    <sheetView topLeftCell="A4" workbookViewId="0">
      <selection activeCell="N21" sqref="N21"/>
    </sheetView>
  </sheetViews>
  <sheetFormatPr defaultColWidth="8.66666666666667" defaultRowHeight="23.25"/>
  <cols>
    <col min="1" max="11" width="8.66666666666667" style="11"/>
    <col min="12" max="12" width="8.66666666666667" style="2"/>
    <col min="13" max="13" width="20.8857142857143" style="2" customWidth="1"/>
    <col min="14" max="14" width="25.6666666666667" style="2" customWidth="1"/>
    <col min="15" max="16384" width="8.66666666666667" style="2"/>
  </cols>
  <sheetData>
    <row r="7" spans="13:14">
      <c r="M7" s="2" t="s">
        <v>0</v>
      </c>
      <c r="N7" s="3">
        <v>300000</v>
      </c>
    </row>
    <row r="8" spans="13:15">
      <c r="M8" s="2" t="s">
        <v>2</v>
      </c>
      <c r="N8" s="2">
        <v>3</v>
      </c>
      <c r="O8" s="2" t="s">
        <v>8</v>
      </c>
    </row>
    <row r="9" spans="13:15">
      <c r="M9" s="2" t="s">
        <v>4</v>
      </c>
      <c r="N9" s="12">
        <v>0.08</v>
      </c>
      <c r="O9" s="2" t="s">
        <v>5</v>
      </c>
    </row>
    <row r="11" spans="13:14">
      <c r="M11" s="2" t="s">
        <v>11</v>
      </c>
      <c r="N11" s="13">
        <f>PMT(N9,N8,N7,,0)</f>
        <v>-116410.054213898</v>
      </c>
    </row>
    <row r="17" spans="13:14">
      <c r="M17" s="2" t="s">
        <v>0</v>
      </c>
      <c r="N17" s="3">
        <v>300000</v>
      </c>
    </row>
    <row r="18" spans="13:15">
      <c r="M18" s="2" t="s">
        <v>2</v>
      </c>
      <c r="N18" s="2">
        <v>3</v>
      </c>
      <c r="O18" s="2" t="s">
        <v>8</v>
      </c>
    </row>
    <row r="19" spans="13:15">
      <c r="M19" s="2" t="s">
        <v>4</v>
      </c>
      <c r="N19" s="12">
        <v>0.08</v>
      </c>
      <c r="O19" s="2" t="s">
        <v>5</v>
      </c>
    </row>
    <row r="21" spans="13:14">
      <c r="M21" s="2" t="s">
        <v>11</v>
      </c>
      <c r="N21" s="13">
        <f>PMT(N19,N18,N17,,1)</f>
        <v>-107787.087235091</v>
      </c>
    </row>
  </sheetData>
  <pageMargins left="0.511811024" right="0.511811024" top="0.787401575" bottom="0.787401575" header="0.31496062" footer="0.31496062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O3:Q28"/>
  <sheetViews>
    <sheetView zoomScale="90" zoomScaleNormal="90" topLeftCell="B1" workbookViewId="0">
      <selection activeCell="X12" sqref="X12"/>
    </sheetView>
  </sheetViews>
  <sheetFormatPr defaultColWidth="9" defaultRowHeight="23.25"/>
  <cols>
    <col min="1" max="13" width="8.66666666666667" style="1"/>
    <col min="14" max="14" width="8.66666666666667" style="7"/>
    <col min="15" max="15" width="16" style="2" customWidth="1"/>
    <col min="16" max="16" width="26.1047619047619" style="2" customWidth="1"/>
    <col min="17" max="17" width="13.552380952381" style="2" customWidth="1"/>
    <col min="18" max="21" width="8.66666666666667" style="2"/>
  </cols>
  <sheetData>
    <row r="3" spans="15:16">
      <c r="O3" s="2" t="s">
        <v>0</v>
      </c>
      <c r="P3" s="3">
        <v>1699.99</v>
      </c>
    </row>
    <row r="4" spans="15:17">
      <c r="O4" s="2" t="s">
        <v>2</v>
      </c>
      <c r="P4" s="2">
        <v>8</v>
      </c>
      <c r="Q4" s="2" t="s">
        <v>3</v>
      </c>
    </row>
    <row r="5" spans="15:17">
      <c r="O5" s="2" t="s">
        <v>12</v>
      </c>
      <c r="P5" s="3">
        <v>212.49</v>
      </c>
      <c r="Q5" s="2" t="s">
        <v>13</v>
      </c>
    </row>
    <row r="7" spans="15:17">
      <c r="O7" s="2" t="s">
        <v>14</v>
      </c>
      <c r="P7" s="8" t="e">
        <f>RATE(P4,P5,P3)</f>
        <v>#NUM!</v>
      </c>
      <c r="Q7" s="10" t="s">
        <v>15</v>
      </c>
    </row>
    <row r="13" spans="16:16">
      <c r="P13" s="2" t="s">
        <v>16</v>
      </c>
    </row>
    <row r="14" spans="15:16">
      <c r="O14" s="2" t="s">
        <v>0</v>
      </c>
      <c r="P14" s="3">
        <v>1529.99</v>
      </c>
    </row>
    <row r="15" spans="15:17">
      <c r="O15" s="2" t="s">
        <v>2</v>
      </c>
      <c r="P15" s="2">
        <v>8</v>
      </c>
      <c r="Q15" s="2" t="s">
        <v>3</v>
      </c>
    </row>
    <row r="16" spans="15:17">
      <c r="O16" s="2" t="s">
        <v>12</v>
      </c>
      <c r="P16" s="4">
        <v>-212.49</v>
      </c>
      <c r="Q16" s="2" t="s">
        <v>13</v>
      </c>
    </row>
    <row r="18" spans="15:17">
      <c r="O18" s="2" t="s">
        <v>14</v>
      </c>
      <c r="P18" s="9">
        <f>RATE(P15,P16,P14)</f>
        <v>0.0240167719894762</v>
      </c>
      <c r="Q18" s="2" t="s">
        <v>6</v>
      </c>
    </row>
    <row r="19" spans="15:17">
      <c r="O19" s="2" t="s">
        <v>14</v>
      </c>
      <c r="P19" s="6">
        <f>(1+P18)^(12/1)-1</f>
        <v>0.329489274765923</v>
      </c>
      <c r="Q19" s="2" t="s">
        <v>5</v>
      </c>
    </row>
    <row r="22" spans="16:16">
      <c r="P22" s="2" t="s">
        <v>17</v>
      </c>
    </row>
    <row r="23" spans="15:16">
      <c r="O23" s="2" t="s">
        <v>0</v>
      </c>
      <c r="P23" s="3">
        <v>1529.99</v>
      </c>
    </row>
    <row r="24" spans="15:17">
      <c r="O24" s="2" t="s">
        <v>2</v>
      </c>
      <c r="P24" s="2">
        <v>8</v>
      </c>
      <c r="Q24" s="2" t="s">
        <v>3</v>
      </c>
    </row>
    <row r="25" spans="15:17">
      <c r="O25" s="2" t="s">
        <v>12</v>
      </c>
      <c r="P25" s="4">
        <v>-212.49</v>
      </c>
      <c r="Q25" s="2" t="s">
        <v>13</v>
      </c>
    </row>
    <row r="27" spans="15:17">
      <c r="O27" s="2" t="s">
        <v>14</v>
      </c>
      <c r="P27" s="9">
        <f>RATE(P24,P25,P23,,1)</f>
        <v>0.0312819746537628</v>
      </c>
      <c r="Q27" s="2" t="s">
        <v>6</v>
      </c>
    </row>
    <row r="28" spans="15:17">
      <c r="O28" s="2" t="s">
        <v>14</v>
      </c>
      <c r="P28" s="6">
        <f>(1+P27)^(12/1)-1</f>
        <v>0.447201898485116</v>
      </c>
      <c r="Q28" s="2" t="s">
        <v>5</v>
      </c>
    </row>
  </sheetData>
  <pageMargins left="0.511811024" right="0.511811024" top="0.787401575" bottom="0.787401575" header="0.31496062" footer="0.31496062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M16:O22"/>
  <sheetViews>
    <sheetView topLeftCell="A10" workbookViewId="0">
      <selection activeCell="N25" sqref="N25"/>
    </sheetView>
  </sheetViews>
  <sheetFormatPr defaultColWidth="9" defaultRowHeight="23.25"/>
  <cols>
    <col min="1" max="11" width="8.66666666666667" style="1"/>
    <col min="13" max="13" width="19.1047619047619" style="2" customWidth="1"/>
    <col min="14" max="14" width="25.552380952381" style="2" customWidth="1"/>
    <col min="15" max="15" width="10.552380952381" style="2" customWidth="1"/>
    <col min="16" max="18" width="8.66666666666667" style="2"/>
  </cols>
  <sheetData>
    <row r="16" spans="13:14">
      <c r="M16" s="2" t="s">
        <v>0</v>
      </c>
      <c r="N16" s="3">
        <f>99990-64535</f>
        <v>35455</v>
      </c>
    </row>
    <row r="17" spans="13:15">
      <c r="M17" s="2" t="s">
        <v>12</v>
      </c>
      <c r="N17" s="4">
        <v>-749.08</v>
      </c>
      <c r="O17" s="2" t="s">
        <v>13</v>
      </c>
    </row>
    <row r="18" spans="13:14">
      <c r="M18" s="2" t="s">
        <v>7</v>
      </c>
      <c r="N18" s="4">
        <v>-20000</v>
      </c>
    </row>
    <row r="19" spans="13:15">
      <c r="M19" s="2" t="s">
        <v>2</v>
      </c>
      <c r="N19" s="2">
        <v>24</v>
      </c>
      <c r="O19" s="2" t="s">
        <v>3</v>
      </c>
    </row>
    <row r="21" spans="13:15">
      <c r="M21" s="2" t="s">
        <v>14</v>
      </c>
      <c r="N21" s="5">
        <f>RATE(N19,N17,N16,N18,0)</f>
        <v>0.00373242808873067</v>
      </c>
      <c r="O21" s="2" t="s">
        <v>6</v>
      </c>
    </row>
    <row r="22" spans="13:15">
      <c r="M22" s="2" t="s">
        <v>14</v>
      </c>
      <c r="N22" s="6">
        <f>(1+N21)^(12/1)-1</f>
        <v>0.0457201202263506</v>
      </c>
      <c r="O22" s="2" t="s">
        <v>5</v>
      </c>
    </row>
  </sheetData>
  <pageMargins left="0.511811024" right="0.511811024" top="0.787401575" bottom="0.787401575" header="0.31496062" footer="0.31496062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Exemplo I</vt:lpstr>
      <vt:lpstr>Exemplo II</vt:lpstr>
      <vt:lpstr>Exemplo III</vt:lpstr>
      <vt:lpstr>Exemplo IV</vt:lpstr>
      <vt:lpstr>Tx de Juros</vt:lpstr>
      <vt:lpstr>Tx de Juros II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unifei</dc:creator>
  <cp:lastModifiedBy>pehen</cp:lastModifiedBy>
  <dcterms:created xsi:type="dcterms:W3CDTF">2020-04-04T18:54:00Z</dcterms:created>
  <dcterms:modified xsi:type="dcterms:W3CDTF">2025-07-03T13:25:04Z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9EBCF72EB37C48A6835124BE750A44B6_12</vt:lpwstr>
  </property>
  <property fmtid="{D5CDD505-2E9C-101B-9397-08002B2CF9AE}" pid="3" name="KSOProductBuildVer">
    <vt:lpwstr>1046-12.2.0.21546</vt:lpwstr>
  </property>
</Properties>
</file>