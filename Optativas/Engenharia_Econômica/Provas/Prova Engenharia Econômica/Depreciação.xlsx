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IEPG10_2024\Aula 11 nova\Aula 11 2024\"/>
    </mc:Choice>
  </mc:AlternateContent>
  <xr:revisionPtr revIDLastSave="0" documentId="13_ncr:1_{2B09EBBF-0F6B-4176-8F77-894C3B67773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P1" sheetId="5" r:id="rId1"/>
    <sheet name="DEP2" sheetId="6" r:id="rId2"/>
    <sheet name="DEP3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7" l="1"/>
  <c r="O12" i="7" s="1"/>
  <c r="T8" i="7"/>
  <c r="T7" i="7"/>
  <c r="T6" i="7"/>
  <c r="T5" i="7"/>
  <c r="S8" i="7"/>
  <c r="S5" i="7"/>
  <c r="Q5" i="7"/>
  <c r="S6" i="7"/>
  <c r="Q6" i="7"/>
  <c r="R6" i="7"/>
  <c r="S7" i="7"/>
  <c r="R8" i="7"/>
  <c r="R7" i="7"/>
  <c r="R5" i="7"/>
  <c r="Q7" i="7"/>
  <c r="Q8" i="7"/>
  <c r="O8" i="6"/>
  <c r="O20" i="6" s="1"/>
  <c r="O21" i="6" s="1"/>
  <c r="O7" i="6"/>
  <c r="O4" i="6"/>
  <c r="O9" i="6" s="1"/>
  <c r="O11" i="6" s="1"/>
  <c r="O13" i="6" s="1"/>
  <c r="O25" i="5"/>
  <c r="O23" i="5"/>
  <c r="O24" i="5" s="1"/>
  <c r="O27" i="5" s="1"/>
  <c r="O19" i="5"/>
  <c r="O20" i="5" s="1"/>
  <c r="O12" i="5"/>
  <c r="O11" i="5"/>
  <c r="O8" i="5"/>
  <c r="O18" i="5" s="1"/>
  <c r="O6" i="5"/>
  <c r="O9" i="5" s="1"/>
  <c r="O15" i="5" l="1"/>
  <c r="O16" i="5" s="1"/>
  <c r="O16" i="6"/>
  <c r="O17" i="6" s="1"/>
</calcChain>
</file>

<file path=xl/sharedStrings.xml><?xml version="1.0" encoding="utf-8"?>
<sst xmlns="http://schemas.openxmlformats.org/spreadsheetml/2006/main" count="74" uniqueCount="48">
  <si>
    <t>d</t>
  </si>
  <si>
    <t>n</t>
  </si>
  <si>
    <t>T</t>
  </si>
  <si>
    <t>Itens</t>
  </si>
  <si>
    <t>Valor do Investimento</t>
  </si>
  <si>
    <t>Edificação</t>
  </si>
  <si>
    <t>Computadores</t>
  </si>
  <si>
    <t>Veículos</t>
  </si>
  <si>
    <t>Máquinas</t>
  </si>
  <si>
    <t>(a)</t>
  </si>
  <si>
    <t>(b)</t>
  </si>
  <si>
    <t>VC8</t>
  </si>
  <si>
    <t>C0</t>
  </si>
  <si>
    <t>aa</t>
  </si>
  <si>
    <t>anos</t>
  </si>
  <si>
    <t>a)</t>
  </si>
  <si>
    <t>$/ano</t>
  </si>
  <si>
    <t>b)</t>
  </si>
  <si>
    <t>VC6</t>
  </si>
  <si>
    <t>ERRADO</t>
  </si>
  <si>
    <t>C)</t>
  </si>
  <si>
    <t>VENDO</t>
  </si>
  <si>
    <t>VC4</t>
  </si>
  <si>
    <t>(CONTABILIDADE)</t>
  </si>
  <si>
    <t>PREJUÍZO</t>
  </si>
  <si>
    <t>D)</t>
  </si>
  <si>
    <t>Dacum2</t>
  </si>
  <si>
    <t>VC2</t>
  </si>
  <si>
    <t>e)</t>
  </si>
  <si>
    <t>2 turnos</t>
  </si>
  <si>
    <t>coef = 1,5</t>
  </si>
  <si>
    <t>Terreno</t>
  </si>
  <si>
    <t>(não deprecia)</t>
  </si>
  <si>
    <t>Valor depreciável</t>
  </si>
  <si>
    <t>c)</t>
  </si>
  <si>
    <t>Dacum10</t>
  </si>
  <si>
    <t>d)</t>
  </si>
  <si>
    <t>VC10</t>
  </si>
  <si>
    <t>Venda 11</t>
  </si>
  <si>
    <t>VC11</t>
  </si>
  <si>
    <t>Prejuízo</t>
  </si>
  <si>
    <t>f)</t>
  </si>
  <si>
    <t>Venda 30</t>
  </si>
  <si>
    <t>VC30</t>
  </si>
  <si>
    <t>Lucro</t>
  </si>
  <si>
    <t>Venda</t>
  </si>
  <si>
    <t>d acum8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</si>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</sst>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000000"/>
      <name val="Calibri"/>
      <family val="2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2" fillId="2" borderId="0" xfId="0" applyFont="1" applyFill="1"/>
    <xf numFmtId="9" fontId="2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0" xfId="0" applyFont="1" applyFill="1"/>
    <xf numFmtId="2" fontId="3" fillId="2" borderId="0" xfId="0" applyNumberFormat="1" applyFont="1" applyFill="1"/>
    <xf numFmtId="0" fontId="7" fillId="0" borderId="1" xfId="0" applyFont="1" applyBorder="1" applyAlignment="1">
      <alignment horizontal="center" vertical="center" wrapText="1" readingOrder="1"/>
    </xf>
    <xf numFmtId="7" fontId="7" fillId="0" borderId="1" xfId="1" applyNumberFormat="1" applyFont="1" applyBorder="1" applyAlignment="1">
      <alignment horizontal="center" vertical="center" wrapText="1" readingOrder="1"/>
    </xf>
    <xf numFmtId="7" fontId="2" fillId="2" borderId="1" xfId="0" applyNumberFormat="1" applyFont="1" applyFill="1" applyBorder="1" applyAlignment="1">
      <alignment horizontal="center"/>
    </xf>
    <xf numFmtId="7" fontId="2" fillId="2" borderId="0" xfId="0" applyNumberFormat="1" applyFont="1" applyFill="1"/>
    <xf numFmtId="0" fontId="4" fillId="2" borderId="0" xfId="0" applyFont="1" applyFill="1"/>
    <xf numFmtId="0" fontId="4" fillId="2" borderId="0" xfId="1" applyNumberFormat="1" applyFont="1" applyFill="1"/>
    <xf numFmtId="0" fontId="4" fillId="2" borderId="0" xfId="0" applyFont="1" applyFill="1" applyAlignment="1">
      <alignment horizontal="center"/>
    </xf>
    <xf numFmtId="0" fontId="4" fillId="2" borderId="0" xfId="2" applyNumberFormat="1" applyFont="1" applyFill="1"/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5" fillId="2" borderId="0" xfId="1" applyNumberFormat="1" applyFont="1" applyFill="1"/>
    <xf numFmtId="0" fontId="4" fillId="2" borderId="0" xfId="2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4" fontId="4" fillId="2" borderId="0" xfId="1" applyFont="1" applyFill="1"/>
    <xf numFmtId="9" fontId="4" fillId="2" borderId="0" xfId="0" applyNumberFormat="1" applyFont="1" applyFill="1"/>
    <xf numFmtId="10" fontId="4" fillId="2" borderId="0" xfId="0" applyNumberFormat="1" applyFont="1" applyFill="1"/>
    <xf numFmtId="44" fontId="4" fillId="2" borderId="0" xfId="0" applyNumberFormat="1" applyFont="1" applyFill="1"/>
    <xf numFmtId="44" fontId="5" fillId="2" borderId="0" xfId="0" applyNumberFormat="1" applyFont="1" applyFill="1"/>
    <xf numFmtId="0" fontId="4" fillId="3" borderId="0" xfId="0" applyFont="1" applyFill="1"/>
    <xf numFmtId="0" fontId="4" fillId="4" borderId="0" xfId="0" applyFont="1" applyFill="1"/>
    <xf numFmtId="9" fontId="4" fillId="2" borderId="0" xfId="2" applyFont="1" applyFill="1"/>
    <xf numFmtId="44" fontId="4" fillId="2" borderId="0" xfId="3" applyNumberFormat="1" applyFont="1" applyFill="1"/>
    <xf numFmtId="44" fontId="4" fillId="2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2" borderId="0" xfId="1" applyFont="1" applyFill="1"/>
    <xf numFmtId="44" fontId="2" fillId="4" borderId="0" xfId="0" applyNumberFormat="1" applyFont="1" applyFill="1"/>
    <xf numFmtId="7" fontId="2" fillId="2" borderId="0" xfId="1" applyNumberFormat="1" applyFont="1" applyFill="1"/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6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17</xdr:row>
      <xdr:rowOff>38100</xdr:rowOff>
    </xdr:from>
    <xdr:to>
      <xdr:col>10</xdr:col>
      <xdr:colOff>203835</xdr:colOff>
      <xdr:row>32</xdr:row>
      <xdr:rowOff>36195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0346A66-6D2F-47DB-88EA-4F1F35B8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5057775"/>
          <a:ext cx="5737860" cy="4427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5331</xdr:rowOff>
    </xdr:from>
    <xdr:to>
      <xdr:col>12</xdr:col>
      <xdr:colOff>49530</xdr:colOff>
      <xdr:row>12</xdr:row>
      <xdr:rowOff>249555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CDA9FB2-FD30-E086-8D04-0803CCDA6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5881"/>
          <a:ext cx="7364730" cy="31969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161925</xdr:colOff>
          <xdr:row>26</xdr:row>
          <xdr:rowOff>47625</xdr:rowOff>
        </xdr:from>
        <xdr:to>
          <xdr:col>17</xdr:col>
          <xdr:colOff>1228725</xdr:colOff>
          <xdr:row>30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1533525</xdr:colOff>
          <xdr:row>26</xdr:row>
          <xdr:rowOff>38100</xdr:rowOff>
        </xdr:from>
        <xdr:to>
          <xdr:col>18</xdr:col>
          <xdr:colOff>800100</xdr:colOff>
          <xdr:row>30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10</xdr:col>
      <xdr:colOff>255270</xdr:colOff>
      <xdr:row>14</xdr:row>
      <xdr:rowOff>273515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28"/>
        <a:stretch/>
      </xdr:blipFill>
      <xdr:spPr bwMode="auto">
        <a:xfrm>
          <a:off x="0" y="190500"/>
          <a:ext cx="6503670" cy="4243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314325</xdr:colOff>
      <xdr:row>24</xdr:row>
      <xdr:rowOff>266700</xdr:rowOff>
    </xdr:from>
    <xdr:to>
      <xdr:col>10</xdr:col>
      <xdr:colOff>565785</xdr:colOff>
      <xdr:row>39</xdr:row>
      <xdr:rowOff>264795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B507301-F337-464E-A87B-ADBEEBAA0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925" y="7353300"/>
          <a:ext cx="5737860" cy="442722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19</xdr:row>
          <xdr:rowOff>19050</xdr:rowOff>
        </xdr:from>
        <xdr:to>
          <xdr:col>6</xdr:col>
          <xdr:colOff>114300</xdr:colOff>
          <xdr:row>23</xdr:row>
          <xdr:rowOff>57150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19</xdr:row>
          <xdr:rowOff>9525</xdr:rowOff>
        </xdr:from>
        <xdr:to>
          <xdr:col>9</xdr:col>
          <xdr:colOff>257175</xdr:colOff>
          <xdr:row>23</xdr:row>
          <xdr:rowOff>85725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96443</xdr:colOff>
      <xdr:row>16</xdr:row>
      <xdr:rowOff>53340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C591D1-07FD-DBC2-CF83-6FAD6033C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1643" cy="3710940"/>
        </a:xfrm>
        <a:prstGeom prst="rect">
          <a:avLst/>
        </a:prstGeom>
      </xdr:spPr>
    </xdr:pic>
    <xdr:clientData/>
  </xdr:twoCellAnchor>
  <xdr:twoCellAnchor editAs="oneCell">
    <xdr:from>
      <xdr:col>0</xdr:col>
      <xdr:colOff>562841</xdr:colOff>
      <xdr:row>17</xdr:row>
      <xdr:rowOff>121227</xdr:rowOff>
    </xdr:from>
    <xdr:to>
      <xdr:col>10</xdr:col>
      <xdr:colOff>412519</xdr:colOff>
      <xdr:row>35</xdr:row>
      <xdr:rowOff>184265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0C0FA27-3075-3E94-2904-45F480EDF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841" y="4242954"/>
          <a:ext cx="5737860" cy="4427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4.bin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2:AP31"/>
  <sheetViews>
    <sheetView topLeftCell="F12" zoomScaleNormal="100" workbookViewId="0">
      <selection activeCell="S25" sqref="S25"/>
    </sheetView>
  </sheetViews>
  <sheetFormatPr defaultColWidth="8.85546875" defaultRowHeight="23.25" x14ac:dyDescent="0.35"/>
  <cols>
    <col min="1" max="11" width="9.140625" style="1" customWidth="1"/>
    <col min="12" max="12" width="9.140625" style="12" customWidth="1"/>
    <col min="13" max="13" width="4.140625" style="12" bestFit="1" customWidth="1"/>
    <col min="14" max="14" width="19.140625" style="12" customWidth="1"/>
    <col min="15" max="15" width="28.7109375" style="12" customWidth="1"/>
    <col min="16" max="16" width="8.7109375" style="12"/>
    <col min="17" max="17" width="21.140625" style="12" bestFit="1" customWidth="1"/>
    <col min="18" max="18" width="36" style="12" customWidth="1"/>
    <col min="19" max="19" width="43.28515625" style="6" bestFit="1" customWidth="1"/>
    <col min="20" max="20" width="36" style="7" customWidth="1"/>
    <col min="21" max="42" width="36" style="6" customWidth="1"/>
    <col min="43" max="16384" width="8.85546875" style="1"/>
  </cols>
  <sheetData>
    <row r="2" spans="13:19" x14ac:dyDescent="0.35">
      <c r="R2" s="13"/>
    </row>
    <row r="3" spans="13:19" x14ac:dyDescent="0.35">
      <c r="N3" s="12" t="s">
        <v>12</v>
      </c>
      <c r="O3" s="22">
        <v>400000</v>
      </c>
      <c r="R3" s="15"/>
    </row>
    <row r="5" spans="13:19" x14ac:dyDescent="0.35">
      <c r="N5" s="12" t="s">
        <v>2</v>
      </c>
      <c r="O5" s="23">
        <v>0.2</v>
      </c>
      <c r="P5" s="12" t="s">
        <v>13</v>
      </c>
    </row>
    <row r="6" spans="13:19" x14ac:dyDescent="0.35">
      <c r="N6" s="12" t="s">
        <v>47</v>
      </c>
      <c r="O6" s="12">
        <f>100/20</f>
        <v>5</v>
      </c>
      <c r="P6" s="12" t="s">
        <v>14</v>
      </c>
    </row>
    <row r="7" spans="13:19" x14ac:dyDescent="0.35">
      <c r="O7" s="24"/>
    </row>
    <row r="8" spans="13:19" x14ac:dyDescent="0.35">
      <c r="M8" s="12" t="s">
        <v>15</v>
      </c>
      <c r="N8" s="12" t="s">
        <v>0</v>
      </c>
      <c r="O8" s="25">
        <f>O3*O5</f>
        <v>80000</v>
      </c>
      <c r="P8" s="12" t="s">
        <v>16</v>
      </c>
    </row>
    <row r="9" spans="13:19" x14ac:dyDescent="0.35">
      <c r="N9" s="12" t="s">
        <v>0</v>
      </c>
      <c r="O9" s="25">
        <f>O3/O6</f>
        <v>80000</v>
      </c>
      <c r="P9" s="12" t="s">
        <v>16</v>
      </c>
    </row>
    <row r="10" spans="13:19" x14ac:dyDescent="0.35">
      <c r="R10" s="19"/>
      <c r="S10" s="17"/>
    </row>
    <row r="11" spans="13:19" x14ac:dyDescent="0.35">
      <c r="M11" s="12" t="s">
        <v>17</v>
      </c>
      <c r="N11" s="12" t="s">
        <v>18</v>
      </c>
      <c r="O11" s="26">
        <f>O3-6*O8</f>
        <v>-80000</v>
      </c>
      <c r="P11" s="27" t="s">
        <v>19</v>
      </c>
      <c r="Q11" s="27"/>
      <c r="R11" s="19"/>
      <c r="S11" s="17"/>
    </row>
    <row r="12" spans="13:19" x14ac:dyDescent="0.35">
      <c r="N12" s="12" t="s">
        <v>18</v>
      </c>
      <c r="O12" s="25">
        <f>O3-5*O8</f>
        <v>0</v>
      </c>
      <c r="R12" s="13"/>
    </row>
    <row r="14" spans="13:19" x14ac:dyDescent="0.35">
      <c r="M14" s="12" t="s">
        <v>20</v>
      </c>
      <c r="N14" s="12" t="s">
        <v>21</v>
      </c>
      <c r="O14" s="22">
        <v>70000</v>
      </c>
      <c r="R14" s="13"/>
    </row>
    <row r="15" spans="13:19" x14ac:dyDescent="0.35">
      <c r="N15" s="12" t="s">
        <v>22</v>
      </c>
      <c r="O15" s="25">
        <f>O3-4*O8</f>
        <v>80000</v>
      </c>
      <c r="P15" s="12" t="s">
        <v>23</v>
      </c>
      <c r="R15" s="14"/>
    </row>
    <row r="16" spans="13:19" x14ac:dyDescent="0.35">
      <c r="N16" s="12" t="s">
        <v>24</v>
      </c>
      <c r="O16" s="26">
        <f>O14-O15</f>
        <v>-10000</v>
      </c>
      <c r="R16" s="19"/>
    </row>
    <row r="18" spans="13:19" x14ac:dyDescent="0.35">
      <c r="M18" s="12" t="s">
        <v>25</v>
      </c>
      <c r="N18" s="12" t="s">
        <v>0</v>
      </c>
      <c r="O18" s="25">
        <f>O8</f>
        <v>80000</v>
      </c>
      <c r="R18" s="13"/>
    </row>
    <row r="19" spans="13:19" x14ac:dyDescent="0.35">
      <c r="N19" s="12" t="s">
        <v>26</v>
      </c>
      <c r="O19" s="25">
        <f>2*O8</f>
        <v>160000</v>
      </c>
      <c r="R19" s="13"/>
    </row>
    <row r="20" spans="13:19" x14ac:dyDescent="0.35">
      <c r="N20" s="12" t="s">
        <v>27</v>
      </c>
      <c r="O20" s="25">
        <f>O3-O19</f>
        <v>240000</v>
      </c>
      <c r="R20" s="13"/>
    </row>
    <row r="21" spans="13:19" x14ac:dyDescent="0.35">
      <c r="R21" s="13"/>
    </row>
    <row r="22" spans="13:19" x14ac:dyDescent="0.35">
      <c r="M22" s="12" t="s">
        <v>28</v>
      </c>
      <c r="N22" s="12" t="s">
        <v>29</v>
      </c>
      <c r="O22" s="28" t="s">
        <v>30</v>
      </c>
    </row>
    <row r="23" spans="13:19" x14ac:dyDescent="0.35">
      <c r="N23" s="12" t="s">
        <v>2</v>
      </c>
      <c r="O23" s="29">
        <f>1.5*O5</f>
        <v>0.30000000000000004</v>
      </c>
      <c r="R23" s="14"/>
    </row>
    <row r="24" spans="13:19" x14ac:dyDescent="0.35">
      <c r="N24" s="12" t="s">
        <v>0</v>
      </c>
      <c r="O24" s="25">
        <f>O23*O3</f>
        <v>120000.00000000001</v>
      </c>
      <c r="P24" s="12" t="s">
        <v>16</v>
      </c>
      <c r="R24" s="20"/>
    </row>
    <row r="25" spans="13:19" x14ac:dyDescent="0.35">
      <c r="N25" s="12" t="s">
        <v>47</v>
      </c>
      <c r="O25" s="12">
        <f>100/30</f>
        <v>3.3333333333333335</v>
      </c>
    </row>
    <row r="26" spans="13:19" x14ac:dyDescent="0.35">
      <c r="R26" s="13"/>
    </row>
    <row r="27" spans="13:19" x14ac:dyDescent="0.35">
      <c r="N27" s="12" t="s">
        <v>27</v>
      </c>
      <c r="O27" s="25">
        <f>O3-2*O24</f>
        <v>159999.99999999997</v>
      </c>
      <c r="R27" s="13"/>
    </row>
    <row r="29" spans="13:19" x14ac:dyDescent="0.35">
      <c r="S29" s="21"/>
    </row>
    <row r="30" spans="13:19" x14ac:dyDescent="0.35">
      <c r="S30" s="21"/>
    </row>
    <row r="31" spans="13:19" x14ac:dyDescent="0.35">
      <c r="S31" s="2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r:id="rId5">
            <anchor moveWithCells="1">
              <from>
                <xdr:col>16</xdr:col>
                <xdr:colOff>161925</xdr:colOff>
                <xdr:row>26</xdr:row>
                <xdr:rowOff>47625</xdr:rowOff>
              </from>
              <to>
                <xdr:col>17</xdr:col>
                <xdr:colOff>1228725</xdr:colOff>
                <xdr:row>30</xdr:row>
                <xdr:rowOff>85725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r:id="rId7">
            <anchor moveWithCells="1">
              <from>
                <xdr:col>17</xdr:col>
                <xdr:colOff>1533525</xdr:colOff>
                <xdr:row>26</xdr:row>
                <xdr:rowOff>38100</xdr:rowOff>
              </from>
              <to>
                <xdr:col>18</xdr:col>
                <xdr:colOff>800100</xdr:colOff>
                <xdr:row>30</xdr:row>
                <xdr:rowOff>114300</xdr:rowOff>
              </to>
            </anchor>
          </objectPr>
        </oleObject>
      </mc:Choice>
      <mc:Fallback>
        <oleObject progId="Equation.3" shapeId="102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L2:P22"/>
  <sheetViews>
    <sheetView tabSelected="1" topLeftCell="A11" workbookViewId="0">
      <selection activeCell="I17" sqref="I17"/>
    </sheetView>
  </sheetViews>
  <sheetFormatPr defaultColWidth="9.140625" defaultRowHeight="23.25" x14ac:dyDescent="0.35"/>
  <cols>
    <col min="1" max="11" width="9.140625" style="1"/>
    <col min="12" max="12" width="9.140625" style="18"/>
    <col min="13" max="13" width="7.42578125" style="18" customWidth="1"/>
    <col min="14" max="14" width="27.85546875" style="12" customWidth="1"/>
    <col min="15" max="15" width="28" style="12" bestFit="1" customWidth="1"/>
    <col min="16" max="16" width="11.140625" style="18" customWidth="1"/>
    <col min="17" max="16384" width="9.140625" style="1"/>
  </cols>
  <sheetData>
    <row r="2" spans="13:16" x14ac:dyDescent="0.35">
      <c r="N2" s="12" t="s">
        <v>12</v>
      </c>
      <c r="O2" s="22">
        <v>40000000</v>
      </c>
    </row>
    <row r="3" spans="13:16" x14ac:dyDescent="0.35">
      <c r="M3" s="12"/>
      <c r="N3" s="12" t="s">
        <v>31</v>
      </c>
      <c r="O3" s="22">
        <v>3000000</v>
      </c>
      <c r="P3" s="12" t="s">
        <v>32</v>
      </c>
    </row>
    <row r="4" spans="13:16" x14ac:dyDescent="0.35">
      <c r="M4" s="12"/>
      <c r="N4" s="12" t="s">
        <v>33</v>
      </c>
      <c r="O4" s="22">
        <f>O2-O3</f>
        <v>37000000</v>
      </c>
      <c r="P4" s="12"/>
    </row>
    <row r="5" spans="13:16" x14ac:dyDescent="0.35">
      <c r="M5" s="12"/>
      <c r="P5" s="12"/>
    </row>
    <row r="6" spans="13:16" x14ac:dyDescent="0.35">
      <c r="M6" s="12"/>
      <c r="N6" s="14" t="s">
        <v>2</v>
      </c>
      <c r="O6" s="23">
        <v>0.04</v>
      </c>
      <c r="P6" s="12" t="s">
        <v>13</v>
      </c>
    </row>
    <row r="7" spans="13:16" x14ac:dyDescent="0.35">
      <c r="M7" s="12" t="s">
        <v>17</v>
      </c>
      <c r="N7" s="14" t="s">
        <v>47</v>
      </c>
      <c r="O7" s="15">
        <f>100/4</f>
        <v>25</v>
      </c>
      <c r="P7" s="12" t="s">
        <v>14</v>
      </c>
    </row>
    <row r="8" spans="13:16" x14ac:dyDescent="0.35">
      <c r="M8" s="12" t="s">
        <v>15</v>
      </c>
      <c r="N8" s="14" t="s">
        <v>0</v>
      </c>
      <c r="O8" s="30">
        <f>O6*O4</f>
        <v>1480000</v>
      </c>
      <c r="P8" s="12" t="s">
        <v>16</v>
      </c>
    </row>
    <row r="9" spans="13:16" x14ac:dyDescent="0.35">
      <c r="M9" s="12" t="s">
        <v>15</v>
      </c>
      <c r="N9" s="14" t="s">
        <v>0</v>
      </c>
      <c r="O9" s="31">
        <f>O4/O7</f>
        <v>1480000</v>
      </c>
      <c r="P9" s="12" t="s">
        <v>16</v>
      </c>
    </row>
    <row r="10" spans="13:16" x14ac:dyDescent="0.35">
      <c r="M10" s="12"/>
      <c r="O10" s="13"/>
      <c r="P10" s="12"/>
    </row>
    <row r="11" spans="13:16" x14ac:dyDescent="0.35">
      <c r="M11" s="12" t="s">
        <v>34</v>
      </c>
      <c r="N11" s="14" t="s">
        <v>35</v>
      </c>
      <c r="O11" s="25">
        <f>10*O9</f>
        <v>14800000</v>
      </c>
      <c r="P11" s="12"/>
    </row>
    <row r="12" spans="13:16" x14ac:dyDescent="0.35">
      <c r="M12" s="12"/>
      <c r="O12" s="16"/>
      <c r="P12" s="16"/>
    </row>
    <row r="13" spans="13:16" x14ac:dyDescent="0.35">
      <c r="M13" s="12" t="s">
        <v>36</v>
      </c>
      <c r="N13" s="14" t="s">
        <v>37</v>
      </c>
      <c r="O13" s="22">
        <f>O2-O11</f>
        <v>25200000</v>
      </c>
      <c r="P13" s="12"/>
    </row>
    <row r="14" spans="13:16" x14ac:dyDescent="0.35">
      <c r="M14" s="12"/>
      <c r="P14" s="12"/>
    </row>
    <row r="15" spans="13:16" x14ac:dyDescent="0.35">
      <c r="M15" s="12" t="s">
        <v>28</v>
      </c>
      <c r="N15" s="14" t="s">
        <v>38</v>
      </c>
      <c r="O15" s="22">
        <v>20500000</v>
      </c>
      <c r="P15" s="12"/>
    </row>
    <row r="16" spans="13:16" x14ac:dyDescent="0.35">
      <c r="M16" s="12"/>
      <c r="N16" s="14" t="s">
        <v>39</v>
      </c>
      <c r="O16" s="25">
        <f>O2-11*O8</f>
        <v>23720000</v>
      </c>
      <c r="P16" s="12"/>
    </row>
    <row r="17" spans="13:16" x14ac:dyDescent="0.35">
      <c r="M17" s="12"/>
      <c r="N17" s="33" t="s">
        <v>40</v>
      </c>
      <c r="O17" s="26">
        <f>O15-O16</f>
        <v>-3220000</v>
      </c>
      <c r="P17" s="12"/>
    </row>
    <row r="18" spans="13:16" x14ac:dyDescent="0.35">
      <c r="M18" s="12"/>
      <c r="P18" s="12"/>
    </row>
    <row r="19" spans="13:16" x14ac:dyDescent="0.35">
      <c r="M19" s="12" t="s">
        <v>41</v>
      </c>
      <c r="N19" s="14" t="s">
        <v>42</v>
      </c>
      <c r="O19" s="22">
        <v>4500000</v>
      </c>
      <c r="P19" s="12"/>
    </row>
    <row r="20" spans="13:16" x14ac:dyDescent="0.35">
      <c r="M20" s="12"/>
      <c r="N20" s="14" t="s">
        <v>43</v>
      </c>
      <c r="O20" s="25">
        <f>O2-25*O8</f>
        <v>3000000</v>
      </c>
      <c r="P20" s="12"/>
    </row>
    <row r="21" spans="13:16" x14ac:dyDescent="0.35">
      <c r="M21" s="12"/>
      <c r="N21" s="32" t="s">
        <v>44</v>
      </c>
      <c r="O21" s="25">
        <f>O19-O20</f>
        <v>1500000</v>
      </c>
      <c r="P21" s="12"/>
    </row>
    <row r="22" spans="13:16" x14ac:dyDescent="0.35">
      <c r="M22" s="12"/>
      <c r="P22" s="12"/>
    </row>
  </sheetData>
  <pageMargins left="0.511811024" right="0.511811024" top="0.78740157499999996" bottom="0.78740157499999996" header="0.31496062000000002" footer="0.31496062000000002"/>
  <drawing r:id="rId1"/>
  <legacyDrawing r:id="rId2"/>
  <oleObjects>
    <mc:AlternateContent xmlns:mc="http://schemas.openxmlformats.org/markup-compatibility/2006">
      <mc:Choice Requires="x14">
        <oleObject progId="Equation.3" shapeId="2049" r:id="rId3">
          <objectPr defaultSize="0" r:id="rId4">
            <anchor moveWithCells="1">
              <from>
                <xdr:col>2</xdr:col>
                <xdr:colOff>76200</xdr:colOff>
                <xdr:row>19</xdr:row>
                <xdr:rowOff>19050</xdr:rowOff>
              </from>
              <to>
                <xdr:col>6</xdr:col>
                <xdr:colOff>114300</xdr:colOff>
                <xdr:row>23</xdr:row>
                <xdr:rowOff>57150</xdr:rowOff>
              </to>
            </anchor>
          </objectPr>
        </oleObject>
      </mc:Choice>
      <mc:Fallback>
        <oleObject progId="Equation.3" shapeId="2049" r:id="rId3"/>
      </mc:Fallback>
    </mc:AlternateContent>
    <mc:AlternateContent xmlns:mc="http://schemas.openxmlformats.org/markup-compatibility/2006">
      <mc:Choice Requires="x14">
        <oleObject progId="Equation.3" shapeId="2050" r:id="rId5">
          <objectPr defaultSize="0" r:id="rId6">
            <anchor moveWithCells="1">
              <from>
                <xdr:col>6</xdr:col>
                <xdr:colOff>419100</xdr:colOff>
                <xdr:row>19</xdr:row>
                <xdr:rowOff>9525</xdr:rowOff>
              </from>
              <to>
                <xdr:col>9</xdr:col>
                <xdr:colOff>257175</xdr:colOff>
                <xdr:row>23</xdr:row>
                <xdr:rowOff>85725</xdr:rowOff>
              </to>
            </anchor>
          </objectPr>
        </oleObject>
      </mc:Choice>
      <mc:Fallback>
        <oleObject progId="Equation.3" shapeId="2050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N3:T13"/>
  <sheetViews>
    <sheetView topLeftCell="E1" zoomScale="110" zoomScaleNormal="110" workbookViewId="0">
      <selection activeCell="O12" sqref="O12"/>
    </sheetView>
  </sheetViews>
  <sheetFormatPr defaultColWidth="8.85546875" defaultRowHeight="18.75" x14ac:dyDescent="0.3"/>
  <cols>
    <col min="1" max="13" width="8.85546875" style="2"/>
    <col min="14" max="14" width="26.5703125" style="2" customWidth="1"/>
    <col min="15" max="15" width="36.42578125" style="2" customWidth="1"/>
    <col min="16" max="16" width="10" style="2" customWidth="1"/>
    <col min="17" max="17" width="22.28515625" style="2" customWidth="1"/>
    <col min="18" max="18" width="13.28515625" style="2" customWidth="1"/>
    <col min="19" max="19" width="26.140625" style="2" customWidth="1"/>
    <col min="20" max="20" width="20.140625" style="2" customWidth="1"/>
    <col min="21" max="16384" width="8.85546875" style="2"/>
  </cols>
  <sheetData>
    <row r="3" spans="14:20" x14ac:dyDescent="0.3">
      <c r="Q3" s="4" t="s">
        <v>9</v>
      </c>
      <c r="R3" s="4" t="s">
        <v>10</v>
      </c>
    </row>
    <row r="4" spans="14:20" x14ac:dyDescent="0.3">
      <c r="N4" s="8" t="s">
        <v>3</v>
      </c>
      <c r="O4" s="8" t="s">
        <v>4</v>
      </c>
      <c r="P4" s="5" t="s">
        <v>2</v>
      </c>
      <c r="Q4" s="5" t="s">
        <v>0</v>
      </c>
      <c r="R4" s="5" t="s">
        <v>1</v>
      </c>
      <c r="S4" s="5" t="s">
        <v>46</v>
      </c>
      <c r="T4" s="5" t="s">
        <v>11</v>
      </c>
    </row>
    <row r="5" spans="14:20" x14ac:dyDescent="0.3">
      <c r="N5" s="8" t="s">
        <v>5</v>
      </c>
      <c r="O5" s="9">
        <v>4500000</v>
      </c>
      <c r="P5" s="3">
        <v>0.04</v>
      </c>
      <c r="Q5" s="10">
        <f>P5*O5</f>
        <v>180000</v>
      </c>
      <c r="R5" s="5">
        <f>100/4</f>
        <v>25</v>
      </c>
      <c r="S5" s="10">
        <f>8*Q5</f>
        <v>1440000</v>
      </c>
      <c r="T5" s="10">
        <f>O5-S5</f>
        <v>3060000</v>
      </c>
    </row>
    <row r="6" spans="14:20" x14ac:dyDescent="0.3">
      <c r="N6" s="8" t="s">
        <v>6</v>
      </c>
      <c r="O6" s="9">
        <v>850000</v>
      </c>
      <c r="P6" s="3">
        <v>0.2</v>
      </c>
      <c r="Q6" s="10">
        <f>P6*O6</f>
        <v>170000</v>
      </c>
      <c r="R6" s="34">
        <f>100/20</f>
        <v>5</v>
      </c>
      <c r="S6" s="10">
        <f>O6</f>
        <v>850000</v>
      </c>
      <c r="T6" s="10">
        <f>O6-S6</f>
        <v>0</v>
      </c>
    </row>
    <row r="7" spans="14:20" x14ac:dyDescent="0.3">
      <c r="N7" s="8" t="s">
        <v>7</v>
      </c>
      <c r="O7" s="9">
        <v>1200000</v>
      </c>
      <c r="P7" s="3">
        <v>0.2</v>
      </c>
      <c r="Q7" s="10">
        <f t="shared" ref="Q7:Q8" si="0">P7*O7</f>
        <v>240000</v>
      </c>
      <c r="R7" s="34">
        <f>100/20</f>
        <v>5</v>
      </c>
      <c r="S7" s="10">
        <f>O7</f>
        <v>1200000</v>
      </c>
      <c r="T7" s="10">
        <f>O7-S7</f>
        <v>0</v>
      </c>
    </row>
    <row r="8" spans="14:20" x14ac:dyDescent="0.3">
      <c r="N8" s="8" t="s">
        <v>8</v>
      </c>
      <c r="O8" s="9">
        <v>1100000</v>
      </c>
      <c r="P8" s="3">
        <v>0.1</v>
      </c>
      <c r="Q8" s="10">
        <f t="shared" si="0"/>
        <v>110000</v>
      </c>
      <c r="R8" s="5">
        <f>100/10</f>
        <v>10</v>
      </c>
      <c r="S8" s="10">
        <f>8*Q8</f>
        <v>880000</v>
      </c>
      <c r="T8" s="10">
        <f>O8-S8</f>
        <v>220000</v>
      </c>
    </row>
    <row r="10" spans="14:20" x14ac:dyDescent="0.3">
      <c r="N10" s="2" t="s">
        <v>45</v>
      </c>
      <c r="O10" s="35">
        <v>5000000</v>
      </c>
    </row>
    <row r="11" spans="14:20" x14ac:dyDescent="0.3">
      <c r="N11" s="2" t="s">
        <v>11</v>
      </c>
      <c r="O11" s="37">
        <f>SUM(T5:T8)</f>
        <v>3280000</v>
      </c>
    </row>
    <row r="12" spans="14:20" x14ac:dyDescent="0.3">
      <c r="N12" s="2" t="s">
        <v>44</v>
      </c>
      <c r="O12" s="36">
        <f>O10-O11</f>
        <v>1720000</v>
      </c>
    </row>
    <row r="13" spans="14:20" x14ac:dyDescent="0.3">
      <c r="O13" s="1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DEP1</vt:lpstr>
      <vt:lpstr>DEP2</vt:lpstr>
      <vt:lpstr>DEP3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Miranda</dc:creator>
  <cp:lastModifiedBy>Rafael Miranda</cp:lastModifiedBy>
  <dcterms:created xsi:type="dcterms:W3CDTF">2016-06-10T13:34:13Z</dcterms:created>
  <dcterms:modified xsi:type="dcterms:W3CDTF">2025-05-19T11:49:02Z</dcterms:modified>
</cp:coreProperties>
</file>