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2"/>
  </bookViews>
  <sheets>
    <sheet name="Q1_2" sheetId="1" r:id="rId1"/>
    <sheet name="Q3" sheetId="2" r:id="rId2"/>
    <sheet name="Q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<sst xmlns="http://schemas.openxmlformats.org/spreadsheetml/2006/main" count="160" uniqueCount="52">
  <si>
    <t>1a)</t>
  </si>
  <si>
    <t>Data</t>
  </si>
  <si>
    <t>FC</t>
  </si>
  <si>
    <t>Taxa</t>
  </si>
  <si>
    <t>aa</t>
  </si>
  <si>
    <t>am</t>
  </si>
  <si>
    <t>VP</t>
  </si>
  <si>
    <t>VF</t>
  </si>
  <si>
    <t>b)</t>
  </si>
  <si>
    <t>Entrada</t>
  </si>
  <si>
    <t>Financiamento</t>
  </si>
  <si>
    <t>n</t>
  </si>
  <si>
    <t>mês</t>
  </si>
  <si>
    <t>i</t>
  </si>
  <si>
    <t>Tipo</t>
  </si>
  <si>
    <t>PGTO</t>
  </si>
  <si>
    <t>c)</t>
  </si>
  <si>
    <t>$/mês</t>
  </si>
  <si>
    <t>2a)</t>
  </si>
  <si>
    <t>Vp (data 0)</t>
  </si>
  <si>
    <t>VF (data 30)</t>
  </si>
  <si>
    <t>VF data 60 - Sócios</t>
  </si>
  <si>
    <t>Valor Futuro total</t>
  </si>
  <si>
    <t>Falta conseguir</t>
  </si>
  <si>
    <t>INV</t>
  </si>
  <si>
    <t>Receita</t>
  </si>
  <si>
    <t>Custos</t>
  </si>
  <si>
    <t>Lucro</t>
  </si>
  <si>
    <t>TMA</t>
  </si>
  <si>
    <t>VPL</t>
  </si>
  <si>
    <t>Inviável</t>
  </si>
  <si>
    <t>Viável</t>
  </si>
  <si>
    <t>Máquina japonesa</t>
  </si>
  <si>
    <t>Máquina Chinesa</t>
  </si>
  <si>
    <t>Investimento Inicial</t>
  </si>
  <si>
    <t>Receita anual</t>
  </si>
  <si>
    <t>Custo anual</t>
  </si>
  <si>
    <t>Valor residual</t>
  </si>
  <si>
    <t>Manutenção Extra no Ano 12</t>
  </si>
  <si>
    <t>Vida útil</t>
  </si>
  <si>
    <t>16 anos</t>
  </si>
  <si>
    <t>Incremental</t>
  </si>
  <si>
    <t>VA</t>
  </si>
  <si>
    <t>TIR</t>
  </si>
  <si>
    <t>Melhor</t>
  </si>
  <si>
    <t>TIR INC (26,26%) maior que a TMA (22%), Melhor o projeto de maior Investimento: Maq Japonesa</t>
  </si>
  <si>
    <t>Continua sendo melhor</t>
  </si>
  <si>
    <t>data</t>
  </si>
  <si>
    <t>Valor Equivalente na data 0</t>
  </si>
  <si>
    <t>VP acumulado</t>
  </si>
  <si>
    <t>PBD</t>
  </si>
  <si>
    <t>anos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</si>
</sst>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\-&quot;R$&quot;\ #,##0.00"/>
    <numFmt numFmtId="181" formatCode="&quot;R$&quot;\ #,##0.00;[Red]\-&quot;R$&quot;\ #,##0.00"/>
    <numFmt numFmtId="182" formatCode="&quot;R$&quot;\ #,##0.00"/>
    <numFmt numFmtId="183" formatCode="0.000%"/>
  </numFmts>
  <fonts count="27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4"/>
      <color rgb="FF000000"/>
      <name val="Arial"/>
      <charset val="134"/>
    </font>
    <font>
      <sz val="14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180" fontId="3" fillId="0" borderId="1" xfId="2" applyNumberFormat="1" applyFont="1" applyBorder="1" applyAlignment="1">
      <alignment horizontal="center"/>
    </xf>
    <xf numFmtId="180" fontId="2" fillId="0" borderId="1" xfId="2" applyNumberFormat="1" applyFont="1" applyBorder="1" applyAlignment="1">
      <alignment horizontal="center"/>
    </xf>
    <xf numFmtId="181" fontId="2" fillId="0" borderId="1" xfId="2" applyNumberFormat="1" applyFont="1" applyBorder="1" applyAlignment="1">
      <alignment horizontal="center"/>
    </xf>
    <xf numFmtId="0" fontId="4" fillId="0" borderId="0" xfId="0" applyFont="1" applyFill="1" applyAlignment="1"/>
    <xf numFmtId="0" fontId="2" fillId="0" borderId="0" xfId="0" applyFont="1" applyFill="1" applyAlignment="1"/>
    <xf numFmtId="9" fontId="2" fillId="0" borderId="0" xfId="0" applyNumberFormat="1" applyFont="1" applyFill="1" applyAlignment="1">
      <alignment horizontal="center"/>
    </xf>
    <xf numFmtId="182" fontId="2" fillId="2" borderId="0" xfId="0" applyNumberFormat="1" applyFont="1" applyFill="1" applyAlignment="1">
      <alignment horizontal="center"/>
    </xf>
    <xf numFmtId="176" fontId="2" fillId="2" borderId="0" xfId="1" applyFont="1" applyFill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180" fontId="6" fillId="0" borderId="2" xfId="2" applyNumberFormat="1" applyFont="1" applyBorder="1" applyAlignment="1">
      <alignment horizontal="center" vertical="center" wrapText="1"/>
    </xf>
    <xf numFmtId="180" fontId="4" fillId="0" borderId="0" xfId="0" applyNumberFormat="1" applyFont="1" applyFill="1" applyAlignment="1"/>
    <xf numFmtId="0" fontId="6" fillId="0" borderId="6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181" fontId="2" fillId="0" borderId="1" xfId="0" applyNumberFormat="1" applyFont="1" applyFill="1" applyBorder="1" applyAlignment="1">
      <alignment horizontal="center"/>
    </xf>
    <xf numFmtId="181" fontId="2" fillId="0" borderId="1" xfId="0" applyNumberFormat="1" applyFont="1" applyFill="1" applyBorder="1" applyAlignment="1"/>
    <xf numFmtId="10" fontId="2" fillId="0" borderId="1" xfId="0" applyNumberFormat="1" applyFont="1" applyFill="1" applyBorder="1" applyAlignment="1"/>
    <xf numFmtId="0" fontId="2" fillId="2" borderId="1" xfId="0" applyFont="1" applyFill="1" applyBorder="1" applyAlignment="1">
      <alignment horizontal="center"/>
    </xf>
    <xf numFmtId="181" fontId="2" fillId="0" borderId="0" xfId="0" applyNumberFormat="1" applyFont="1" applyFill="1" applyAlignment="1"/>
    <xf numFmtId="0" fontId="2" fillId="0" borderId="0" xfId="0" applyFont="1" applyFill="1" applyAlignment="1">
      <alignment horizontal="center"/>
    </xf>
    <xf numFmtId="177" fontId="2" fillId="0" borderId="0" xfId="0" applyNumberFormat="1" applyFont="1" applyFill="1" applyAlignment="1"/>
    <xf numFmtId="181" fontId="2" fillId="2" borderId="0" xfId="0" applyNumberFormat="1" applyFont="1" applyFill="1" applyAlignment="1"/>
    <xf numFmtId="0" fontId="2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81" fontId="4" fillId="0" borderId="0" xfId="2" applyNumberFormat="1" applyFont="1" applyAlignment="1"/>
    <xf numFmtId="10" fontId="4" fillId="0" borderId="0" xfId="0" applyNumberFormat="1" applyFont="1" applyFill="1" applyAlignment="1"/>
    <xf numFmtId="10" fontId="4" fillId="0" borderId="0" xfId="3" applyNumberFormat="1" applyFont="1" applyAlignment="1"/>
    <xf numFmtId="181" fontId="4" fillId="0" borderId="0" xfId="0" applyNumberFormat="1" applyFont="1" applyFill="1" applyAlignment="1"/>
    <xf numFmtId="181" fontId="4" fillId="2" borderId="0" xfId="0" applyNumberFormat="1" applyFont="1" applyFill="1" applyAlignment="1"/>
    <xf numFmtId="177" fontId="4" fillId="0" borderId="0" xfId="2" applyFont="1" applyAlignment="1"/>
    <xf numFmtId="177" fontId="4" fillId="0" borderId="0" xfId="0" applyNumberFormat="1" applyFont="1" applyFill="1" applyAlignment="1"/>
    <xf numFmtId="183" fontId="4" fillId="2" borderId="0" xfId="0" applyNumberFormat="1" applyFont="1" applyFill="1" applyAlignment="1"/>
    <xf numFmtId="9" fontId="4" fillId="0" borderId="0" xfId="0" applyNumberFormat="1" applyFont="1" applyFill="1" applyAlignment="1"/>
    <xf numFmtId="183" fontId="4" fillId="0" borderId="0" xfId="3" applyNumberFormat="1" applyFont="1" applyAlignment="1"/>
    <xf numFmtId="183" fontId="4" fillId="0" borderId="0" xfId="0" applyNumberFormat="1" applyFont="1" applyFill="1" applyAlignment="1"/>
    <xf numFmtId="177" fontId="7" fillId="0" borderId="0" xfId="2" applyFont="1" applyAlignment="1"/>
    <xf numFmtId="0" fontId="4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9"/>
  <sheetViews>
    <sheetView topLeftCell="A57" workbookViewId="0">
      <selection activeCell="K51" sqref="K51"/>
    </sheetView>
  </sheetViews>
  <sheetFormatPr defaultColWidth="9.14285714285714" defaultRowHeight="12.75"/>
  <cols>
    <col min="4" max="4" width="24.4285714285714" customWidth="1"/>
    <col min="16" max="16" width="24.4285714285714" customWidth="1"/>
  </cols>
  <sheetData>
    <row r="1" ht="18.75" spans="1:2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18.75" spans="1:2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8.75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8.75" spans="1:20">
      <c r="A4" s="6"/>
      <c r="B4" s="6" t="s">
        <v>0</v>
      </c>
      <c r="C4" s="31" t="s">
        <v>1</v>
      </c>
      <c r="D4" s="31" t="s">
        <v>2</v>
      </c>
      <c r="E4" s="6"/>
      <c r="F4" s="6"/>
      <c r="G4" s="6"/>
      <c r="H4" s="6"/>
      <c r="I4" s="6"/>
      <c r="J4" s="6"/>
      <c r="K4" s="6"/>
      <c r="L4" s="6"/>
      <c r="M4" s="6"/>
      <c r="N4" s="6" t="s">
        <v>0</v>
      </c>
      <c r="O4" s="31" t="s">
        <v>1</v>
      </c>
      <c r="P4" s="31" t="s">
        <v>2</v>
      </c>
      <c r="Q4" s="6"/>
      <c r="R4" s="6"/>
      <c r="S4" s="6"/>
      <c r="T4" s="6"/>
    </row>
    <row r="5" ht="18.75" spans="1:20">
      <c r="A5" s="6"/>
      <c r="B5" s="6"/>
      <c r="C5" s="31">
        <v>0</v>
      </c>
      <c r="D5" s="32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31">
        <v>0</v>
      </c>
      <c r="P5" s="32">
        <v>0</v>
      </c>
      <c r="Q5" s="6"/>
      <c r="R5" s="6"/>
      <c r="S5" s="6"/>
      <c r="T5" s="6"/>
    </row>
    <row r="6" ht="18.75" spans="1:20">
      <c r="A6" s="6"/>
      <c r="B6" s="6"/>
      <c r="C6" s="31">
        <v>1</v>
      </c>
      <c r="D6" s="32">
        <v>-20000</v>
      </c>
      <c r="E6" s="6"/>
      <c r="F6" s="6"/>
      <c r="G6" s="6"/>
      <c r="H6" s="6"/>
      <c r="I6" s="6"/>
      <c r="J6" s="6"/>
      <c r="K6" s="6"/>
      <c r="L6" s="6"/>
      <c r="M6" s="6"/>
      <c r="N6" s="6"/>
      <c r="O6" s="31">
        <v>1</v>
      </c>
      <c r="P6" s="32">
        <v>-45000</v>
      </c>
      <c r="Q6" s="6"/>
      <c r="R6" s="6"/>
      <c r="S6" s="6"/>
      <c r="T6" s="6"/>
    </row>
    <row r="7" ht="18.75" spans="1:20">
      <c r="A7" s="6"/>
      <c r="B7" s="6"/>
      <c r="C7" s="31">
        <v>2</v>
      </c>
      <c r="D7" s="32">
        <f t="shared" ref="D7:D29" si="0">D6*1.02</f>
        <v>-20400</v>
      </c>
      <c r="E7" s="6"/>
      <c r="F7" s="6"/>
      <c r="G7" s="6"/>
      <c r="H7" s="6"/>
      <c r="I7" s="6"/>
      <c r="J7" s="6"/>
      <c r="K7" s="6"/>
      <c r="L7" s="6"/>
      <c r="M7" s="6"/>
      <c r="N7" s="6"/>
      <c r="O7" s="31">
        <v>2</v>
      </c>
      <c r="P7" s="32">
        <f t="shared" ref="P7:P29" si="1">P6*1.03</f>
        <v>-46350</v>
      </c>
      <c r="Q7" s="6"/>
      <c r="R7" s="6"/>
      <c r="S7" s="6"/>
      <c r="T7" s="6"/>
    </row>
    <row r="8" ht="18.75" spans="1:20">
      <c r="A8" s="6"/>
      <c r="B8" s="6"/>
      <c r="C8" s="31">
        <v>3</v>
      </c>
      <c r="D8" s="32">
        <f t="shared" si="0"/>
        <v>-20808</v>
      </c>
      <c r="E8" s="6"/>
      <c r="F8" s="6"/>
      <c r="G8" s="6"/>
      <c r="H8" s="6"/>
      <c r="I8" s="6"/>
      <c r="J8" s="6"/>
      <c r="K8" s="6"/>
      <c r="L8" s="6"/>
      <c r="M8" s="6"/>
      <c r="N8" s="6"/>
      <c r="O8" s="31">
        <v>3</v>
      </c>
      <c r="P8" s="32">
        <f t="shared" si="1"/>
        <v>-47740.5</v>
      </c>
      <c r="Q8" s="6"/>
      <c r="R8" s="6"/>
      <c r="S8" s="6"/>
      <c r="T8" s="6"/>
    </row>
    <row r="9" ht="18.75" spans="1:20">
      <c r="A9" s="6"/>
      <c r="B9" s="6"/>
      <c r="C9" s="31">
        <v>4</v>
      </c>
      <c r="D9" s="32">
        <f t="shared" si="0"/>
        <v>-21224.16</v>
      </c>
      <c r="E9" s="6"/>
      <c r="F9" s="6"/>
      <c r="G9" s="6"/>
      <c r="H9" s="6"/>
      <c r="I9" s="6"/>
      <c r="J9" s="6"/>
      <c r="K9" s="6"/>
      <c r="L9" s="6"/>
      <c r="M9" s="6"/>
      <c r="N9" s="6"/>
      <c r="O9" s="31">
        <v>4</v>
      </c>
      <c r="P9" s="32">
        <f t="shared" si="1"/>
        <v>-49172.715</v>
      </c>
      <c r="Q9" s="6"/>
      <c r="R9" s="6"/>
      <c r="S9" s="6"/>
      <c r="T9" s="6"/>
    </row>
    <row r="10" ht="18.75" spans="1:20">
      <c r="A10" s="6"/>
      <c r="B10" s="6"/>
      <c r="C10" s="31">
        <v>5</v>
      </c>
      <c r="D10" s="32">
        <f t="shared" si="0"/>
        <v>-21648.6432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31">
        <v>5</v>
      </c>
      <c r="P10" s="32">
        <f t="shared" si="1"/>
        <v>-50647.89645</v>
      </c>
      <c r="Q10" s="6"/>
      <c r="R10" s="6"/>
      <c r="S10" s="6"/>
      <c r="T10" s="6"/>
    </row>
    <row r="11" ht="18.75" spans="1:20">
      <c r="A11" s="6"/>
      <c r="B11" s="6"/>
      <c r="C11" s="31">
        <v>6</v>
      </c>
      <c r="D11" s="32">
        <f t="shared" si="0"/>
        <v>-22081.616064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31">
        <v>6</v>
      </c>
      <c r="P11" s="32">
        <f t="shared" si="1"/>
        <v>-52167.3333435</v>
      </c>
      <c r="Q11" s="6"/>
      <c r="R11" s="6"/>
      <c r="S11" s="6"/>
      <c r="T11" s="6"/>
    </row>
    <row r="12" ht="18.75" spans="1:20">
      <c r="A12" s="6"/>
      <c r="B12" s="6"/>
      <c r="C12" s="31">
        <v>7</v>
      </c>
      <c r="D12" s="32">
        <f t="shared" si="0"/>
        <v>-22523.24838528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31">
        <v>7</v>
      </c>
      <c r="P12" s="32">
        <f t="shared" si="1"/>
        <v>-53732.353343805</v>
      </c>
      <c r="Q12" s="6"/>
      <c r="R12" s="6"/>
      <c r="S12" s="6"/>
      <c r="T12" s="6"/>
    </row>
    <row r="13" ht="18.75" spans="1:20">
      <c r="A13" s="6"/>
      <c r="B13" s="6"/>
      <c r="C13" s="31">
        <v>8</v>
      </c>
      <c r="D13" s="32">
        <f t="shared" si="0"/>
        <v>-22973.7133529856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31">
        <v>8</v>
      </c>
      <c r="P13" s="32">
        <f t="shared" si="1"/>
        <v>-55344.3239441192</v>
      </c>
      <c r="Q13" s="6"/>
      <c r="R13" s="6"/>
      <c r="S13" s="6"/>
      <c r="T13" s="6"/>
    </row>
    <row r="14" ht="18.75" spans="1:20">
      <c r="A14" s="6"/>
      <c r="B14" s="6"/>
      <c r="C14" s="31">
        <v>9</v>
      </c>
      <c r="D14" s="32">
        <f t="shared" si="0"/>
        <v>-23433.1876200453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31">
        <v>9</v>
      </c>
      <c r="P14" s="32">
        <f t="shared" si="1"/>
        <v>-57004.6536624427</v>
      </c>
      <c r="Q14" s="6"/>
      <c r="R14" s="6"/>
      <c r="S14" s="6"/>
      <c r="T14" s="6"/>
    </row>
    <row r="15" ht="18.75" spans="1:20">
      <c r="A15" s="6"/>
      <c r="B15" s="6"/>
      <c r="C15" s="31">
        <v>10</v>
      </c>
      <c r="D15" s="32">
        <f t="shared" si="0"/>
        <v>-23901.8513724462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31">
        <v>10</v>
      </c>
      <c r="P15" s="32">
        <f t="shared" si="1"/>
        <v>-58714.793272316</v>
      </c>
      <c r="Q15" s="6"/>
      <c r="R15" s="6"/>
      <c r="S15" s="6"/>
      <c r="T15" s="6"/>
    </row>
    <row r="16" ht="18.75" spans="1:20">
      <c r="A16" s="6"/>
      <c r="B16" s="6"/>
      <c r="C16" s="31">
        <v>11</v>
      </c>
      <c r="D16" s="32">
        <f t="shared" si="0"/>
        <v>-24379.8883998951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31">
        <v>11</v>
      </c>
      <c r="P16" s="32">
        <f t="shared" si="1"/>
        <v>-60476.2370704855</v>
      </c>
      <c r="Q16" s="6"/>
      <c r="R16" s="6"/>
      <c r="S16" s="6"/>
      <c r="T16" s="6"/>
    </row>
    <row r="17" ht="18.75" spans="1:20">
      <c r="A17" s="6"/>
      <c r="B17" s="6"/>
      <c r="C17" s="31">
        <v>12</v>
      </c>
      <c r="D17" s="32">
        <f t="shared" si="0"/>
        <v>-24867.486167893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31">
        <v>12</v>
      </c>
      <c r="P17" s="32">
        <f t="shared" si="1"/>
        <v>-62290.5241826001</v>
      </c>
      <c r="Q17" s="6"/>
      <c r="R17" s="6"/>
      <c r="S17" s="6"/>
      <c r="T17" s="6"/>
    </row>
    <row r="18" ht="18.75" spans="1:20">
      <c r="A18" s="6"/>
      <c r="B18" s="6"/>
      <c r="C18" s="31">
        <v>13</v>
      </c>
      <c r="D18" s="32">
        <f t="shared" si="0"/>
        <v>-25364.8358912509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31">
        <v>13</v>
      </c>
      <c r="P18" s="32">
        <f t="shared" si="1"/>
        <v>-64159.2399080781</v>
      </c>
      <c r="Q18" s="6"/>
      <c r="R18" s="6"/>
      <c r="S18" s="6"/>
      <c r="T18" s="6"/>
    </row>
    <row r="19" ht="18.75" spans="1:20">
      <c r="A19" s="6"/>
      <c r="B19" s="6"/>
      <c r="C19" s="31">
        <v>14</v>
      </c>
      <c r="D19" s="32">
        <f t="shared" si="0"/>
        <v>-25872.1326090759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31">
        <v>14</v>
      </c>
      <c r="P19" s="32">
        <f t="shared" si="1"/>
        <v>-66084.0171053204</v>
      </c>
      <c r="Q19" s="6"/>
      <c r="R19" s="6"/>
      <c r="S19" s="6"/>
      <c r="T19" s="6"/>
    </row>
    <row r="20" ht="18.75" spans="1:20">
      <c r="A20" s="6"/>
      <c r="B20" s="6"/>
      <c r="C20" s="31">
        <v>15</v>
      </c>
      <c r="D20" s="32">
        <f t="shared" si="0"/>
        <v>-26389.5752612574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31">
        <v>15</v>
      </c>
      <c r="P20" s="32">
        <f t="shared" si="1"/>
        <v>-68066.53761848</v>
      </c>
      <c r="Q20" s="6"/>
      <c r="R20" s="6"/>
      <c r="S20" s="6"/>
      <c r="T20" s="6"/>
    </row>
    <row r="21" ht="18.75" spans="1:20">
      <c r="A21" s="6"/>
      <c r="B21" s="6"/>
      <c r="C21" s="31">
        <v>16</v>
      </c>
      <c r="D21" s="32">
        <f t="shared" si="0"/>
        <v>-26917.3667664826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31">
        <v>16</v>
      </c>
      <c r="P21" s="32">
        <f t="shared" si="1"/>
        <v>-70108.5337470344</v>
      </c>
      <c r="Q21" s="6"/>
      <c r="R21" s="6"/>
      <c r="S21" s="6"/>
      <c r="T21" s="6"/>
    </row>
    <row r="22" ht="18.75" spans="1:20">
      <c r="A22" s="6"/>
      <c r="B22" s="6"/>
      <c r="C22" s="31">
        <v>17</v>
      </c>
      <c r="D22" s="32">
        <f t="shared" si="0"/>
        <v>-27455.7141018122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31">
        <v>17</v>
      </c>
      <c r="P22" s="32">
        <f t="shared" si="1"/>
        <v>-72211.7897594455</v>
      </c>
      <c r="Q22" s="6"/>
      <c r="R22" s="6"/>
      <c r="S22" s="6"/>
      <c r="T22" s="6"/>
    </row>
    <row r="23" ht="18.75" spans="1:20">
      <c r="A23" s="6"/>
      <c r="B23" s="6"/>
      <c r="C23" s="31">
        <v>18</v>
      </c>
      <c r="D23" s="32">
        <f t="shared" si="0"/>
        <v>-28004.8283838485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31">
        <v>18</v>
      </c>
      <c r="P23" s="32">
        <f t="shared" si="1"/>
        <v>-74378.1434522288</v>
      </c>
      <c r="Q23" s="6"/>
      <c r="R23" s="6"/>
      <c r="S23" s="6"/>
      <c r="T23" s="6"/>
    </row>
    <row r="24" ht="18.75" spans="1:20">
      <c r="A24" s="6"/>
      <c r="B24" s="6"/>
      <c r="C24" s="31">
        <v>19</v>
      </c>
      <c r="D24" s="32">
        <f t="shared" si="0"/>
        <v>-28564.9249515255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31">
        <v>19</v>
      </c>
      <c r="P24" s="32">
        <f t="shared" si="1"/>
        <v>-76609.4877557957</v>
      </c>
      <c r="Q24" s="6"/>
      <c r="R24" s="6"/>
      <c r="S24" s="6"/>
      <c r="T24" s="6"/>
    </row>
    <row r="25" ht="18.75" spans="1:20">
      <c r="A25" s="6"/>
      <c r="B25" s="6"/>
      <c r="C25" s="31">
        <v>20</v>
      </c>
      <c r="D25" s="32">
        <f t="shared" si="0"/>
        <v>-29136.223450556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31">
        <v>20</v>
      </c>
      <c r="P25" s="32">
        <f t="shared" si="1"/>
        <v>-78907.7723884696</v>
      </c>
      <c r="Q25" s="6"/>
      <c r="R25" s="6"/>
      <c r="S25" s="6"/>
      <c r="T25" s="6"/>
    </row>
    <row r="26" ht="18.75" spans="1:20">
      <c r="A26" s="6"/>
      <c r="B26" s="6"/>
      <c r="C26" s="31">
        <v>21</v>
      </c>
      <c r="D26" s="32">
        <f t="shared" si="0"/>
        <v>-29718.9479195671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31">
        <v>21</v>
      </c>
      <c r="P26" s="32">
        <f t="shared" si="1"/>
        <v>-81275.0055601237</v>
      </c>
      <c r="Q26" s="6"/>
      <c r="R26" s="6"/>
      <c r="S26" s="6"/>
      <c r="T26" s="6"/>
    </row>
    <row r="27" ht="18.75" spans="1:20">
      <c r="A27" s="6"/>
      <c r="B27" s="6"/>
      <c r="C27" s="31">
        <v>22</v>
      </c>
      <c r="D27" s="32">
        <f t="shared" si="0"/>
        <v>-30313.3268779584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31">
        <v>22</v>
      </c>
      <c r="P27" s="32">
        <f t="shared" si="1"/>
        <v>-83713.2557269274</v>
      </c>
      <c r="Q27" s="6"/>
      <c r="R27" s="6"/>
      <c r="S27" s="6"/>
      <c r="T27" s="6"/>
    </row>
    <row r="28" ht="18.75" spans="1:20">
      <c r="A28" s="6"/>
      <c r="B28" s="6"/>
      <c r="C28" s="31">
        <v>23</v>
      </c>
      <c r="D28" s="32">
        <f t="shared" si="0"/>
        <v>-30919.5934155176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31">
        <v>23</v>
      </c>
      <c r="P28" s="32">
        <f t="shared" si="1"/>
        <v>-86224.6533987352</v>
      </c>
      <c r="Q28" s="6"/>
      <c r="R28" s="6"/>
      <c r="S28" s="6"/>
      <c r="T28" s="6"/>
    </row>
    <row r="29" ht="18.75" spans="1:20">
      <c r="A29" s="6"/>
      <c r="B29" s="6"/>
      <c r="C29" s="31">
        <v>24</v>
      </c>
      <c r="D29" s="32">
        <f t="shared" si="0"/>
        <v>-31537.9852838279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31">
        <v>24</v>
      </c>
      <c r="P29" s="32">
        <f t="shared" si="1"/>
        <v>-88811.3930006973</v>
      </c>
      <c r="Q29" s="6"/>
      <c r="R29" s="6"/>
      <c r="S29" s="6"/>
      <c r="T29" s="6"/>
    </row>
    <row r="30" ht="18.75" spans="1:2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8.75" spans="1:20">
      <c r="A31" s="6"/>
      <c r="B31" s="6"/>
      <c r="C31" s="6" t="s">
        <v>3</v>
      </c>
      <c r="D31" s="33">
        <v>0.1325</v>
      </c>
      <c r="E31" s="6" t="s">
        <v>4</v>
      </c>
      <c r="F31" s="6"/>
      <c r="G31" s="6"/>
      <c r="H31" s="6"/>
      <c r="I31" s="6"/>
      <c r="J31" s="6"/>
      <c r="K31" s="6"/>
      <c r="L31" s="6"/>
      <c r="M31" s="6"/>
      <c r="N31" s="6"/>
      <c r="O31" s="6" t="s">
        <v>3</v>
      </c>
      <c r="P31" s="33">
        <v>0.1285</v>
      </c>
      <c r="Q31" s="6" t="s">
        <v>4</v>
      </c>
      <c r="R31" s="6"/>
      <c r="S31" s="6"/>
      <c r="T31" s="6"/>
    </row>
    <row r="32" ht="18.75" spans="1:20">
      <c r="A32" s="6"/>
      <c r="B32" s="6"/>
      <c r="C32" s="6" t="s">
        <v>3</v>
      </c>
      <c r="D32" s="34">
        <f>(1+D31)^(1/12)-1</f>
        <v>0.0104229088673753</v>
      </c>
      <c r="E32" s="6" t="s">
        <v>5</v>
      </c>
      <c r="F32" s="6"/>
      <c r="G32" s="6"/>
      <c r="H32" s="6"/>
      <c r="I32" s="6"/>
      <c r="J32" s="6"/>
      <c r="K32" s="6"/>
      <c r="L32" s="6"/>
      <c r="M32" s="6"/>
      <c r="N32" s="6"/>
      <c r="O32" s="6" t="s">
        <v>3</v>
      </c>
      <c r="P32" s="34">
        <f>(1+P31)^(1/12)-1</f>
        <v>0.0101250244465201</v>
      </c>
      <c r="Q32" s="6" t="s">
        <v>5</v>
      </c>
      <c r="R32" s="6"/>
      <c r="S32" s="6"/>
      <c r="T32" s="6"/>
    </row>
    <row r="33" ht="18.75" spans="1:20">
      <c r="A33" s="6"/>
      <c r="B33" s="6"/>
      <c r="C33" s="6" t="s">
        <v>6</v>
      </c>
      <c r="D33" s="35">
        <f>NPV(D32,D6:D29)</f>
        <v>-530614.353596776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 t="s">
        <v>6</v>
      </c>
      <c r="P33" s="35">
        <f>NPV(P32,P6:P29)</f>
        <v>-1349913.08184335</v>
      </c>
      <c r="Q33" s="6"/>
      <c r="R33" s="6"/>
      <c r="S33" s="6"/>
      <c r="T33" s="6"/>
    </row>
    <row r="34" ht="18.75" spans="1:20">
      <c r="A34" s="6"/>
      <c r="B34" s="6"/>
      <c r="C34" s="6" t="s">
        <v>7</v>
      </c>
      <c r="D34" s="36">
        <f>FV(D32,C29,,D33)</f>
        <v>680542.755545256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 t="s">
        <v>7</v>
      </c>
      <c r="P34" s="36">
        <f>FV(P32,O29,,P33)</f>
        <v>1719130.84616276</v>
      </c>
      <c r="Q34" s="6"/>
      <c r="R34" s="6"/>
      <c r="S34" s="6"/>
      <c r="T34" s="6"/>
    </row>
    <row r="35" ht="18.75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8.75" spans="1:20">
      <c r="A36" s="6"/>
      <c r="B36" s="6" t="s">
        <v>8</v>
      </c>
      <c r="C36" s="6" t="s">
        <v>6</v>
      </c>
      <c r="D36" s="37">
        <v>750000</v>
      </c>
      <c r="E36" s="6"/>
      <c r="F36" s="6"/>
      <c r="G36" s="6"/>
      <c r="H36" s="6"/>
      <c r="I36" s="6"/>
      <c r="J36" s="6"/>
      <c r="K36" s="6"/>
      <c r="L36" s="6"/>
      <c r="M36" s="6"/>
      <c r="N36" s="6" t="s">
        <v>8</v>
      </c>
      <c r="O36" s="6" t="s">
        <v>6</v>
      </c>
      <c r="P36" s="37">
        <v>900000</v>
      </c>
      <c r="Q36" s="6"/>
      <c r="R36" s="6"/>
      <c r="S36" s="6"/>
      <c r="T36" s="6"/>
    </row>
    <row r="37" ht="18.75" spans="1:20">
      <c r="A37" s="6"/>
      <c r="B37" s="6"/>
      <c r="C37" s="6" t="s">
        <v>9</v>
      </c>
      <c r="D37" s="37">
        <v>200000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 t="s">
        <v>9</v>
      </c>
      <c r="P37" s="37">
        <v>350000</v>
      </c>
      <c r="Q37" s="6"/>
      <c r="R37" s="6"/>
      <c r="S37" s="6"/>
      <c r="T37" s="6"/>
    </row>
    <row r="38" ht="18.75" spans="1:20">
      <c r="A38" s="6"/>
      <c r="B38" s="6"/>
      <c r="C38" s="6" t="s">
        <v>10</v>
      </c>
      <c r="D38" s="38">
        <f>D36-D37</f>
        <v>550000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 t="s">
        <v>10</v>
      </c>
      <c r="P38" s="38">
        <f>P36-P37</f>
        <v>550000</v>
      </c>
      <c r="Q38" s="6"/>
      <c r="R38" s="6"/>
      <c r="S38" s="6"/>
      <c r="T38" s="6"/>
    </row>
    <row r="39" ht="18.75" spans="1:20">
      <c r="A39" s="6"/>
      <c r="B39" s="6"/>
      <c r="C39" s="6" t="s">
        <v>11</v>
      </c>
      <c r="D39" s="6">
        <v>96</v>
      </c>
      <c r="E39" s="6" t="s">
        <v>12</v>
      </c>
      <c r="F39" s="6"/>
      <c r="G39" s="6"/>
      <c r="H39" s="6"/>
      <c r="I39" s="6"/>
      <c r="J39" s="6"/>
      <c r="K39" s="6"/>
      <c r="L39" s="6"/>
      <c r="M39" s="6"/>
      <c r="N39" s="6"/>
      <c r="O39" s="6" t="s">
        <v>11</v>
      </c>
      <c r="P39" s="6">
        <v>120</v>
      </c>
      <c r="Q39" s="6" t="s">
        <v>12</v>
      </c>
      <c r="R39" s="6"/>
      <c r="S39" s="6"/>
      <c r="T39" s="6"/>
    </row>
    <row r="40" ht="18.75" spans="1:20">
      <c r="A40" s="6"/>
      <c r="B40" s="6"/>
      <c r="C40" s="6" t="s">
        <v>13</v>
      </c>
      <c r="D40" s="33">
        <v>0.0175</v>
      </c>
      <c r="E40" s="6" t="s">
        <v>5</v>
      </c>
      <c r="F40" s="6"/>
      <c r="G40" s="6"/>
      <c r="H40" s="6"/>
      <c r="I40" s="6"/>
      <c r="J40" s="6"/>
      <c r="K40" s="6"/>
      <c r="L40" s="6"/>
      <c r="M40" s="6"/>
      <c r="N40" s="6"/>
      <c r="O40" s="6" t="s">
        <v>13</v>
      </c>
      <c r="P40" s="33">
        <v>0.0199</v>
      </c>
      <c r="Q40" s="6" t="s">
        <v>5</v>
      </c>
      <c r="R40" s="6"/>
      <c r="S40" s="6"/>
      <c r="T40" s="6"/>
    </row>
    <row r="41" ht="18.75" spans="1:20">
      <c r="A41" s="6"/>
      <c r="B41" s="6"/>
      <c r="C41" s="6" t="s">
        <v>14</v>
      </c>
      <c r="D41" s="6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 t="s">
        <v>14</v>
      </c>
      <c r="P41" s="6">
        <v>0</v>
      </c>
      <c r="Q41" s="6"/>
      <c r="R41" s="6"/>
      <c r="S41" s="6"/>
      <c r="T41" s="6"/>
    </row>
    <row r="42" ht="18.75" spans="1:2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8.75" spans="1:20">
      <c r="A43" s="6"/>
      <c r="B43" s="6"/>
      <c r="C43" s="6" t="s">
        <v>15</v>
      </c>
      <c r="D43" s="36">
        <f>PMT(D40,D39,D38,,D41)</f>
        <v>-11869.5554291574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 t="s">
        <v>15</v>
      </c>
      <c r="P43" s="36">
        <f>PMT(P40,P39,P38,,P41)</f>
        <v>-12080.4617835855</v>
      </c>
      <c r="Q43" s="6"/>
      <c r="R43" s="6"/>
      <c r="S43" s="6"/>
      <c r="T43" s="6"/>
    </row>
    <row r="44" ht="18.75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8.75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8.75" spans="1:20">
      <c r="A46" s="6"/>
      <c r="B46" s="6" t="s">
        <v>16</v>
      </c>
      <c r="C46" s="6" t="s">
        <v>6</v>
      </c>
      <c r="D46" s="35">
        <v>750000</v>
      </c>
      <c r="E46" s="6"/>
      <c r="F46" s="6"/>
      <c r="G46" s="6"/>
      <c r="H46" s="6"/>
      <c r="I46" s="6"/>
      <c r="J46" s="6"/>
      <c r="K46" s="6"/>
      <c r="L46" s="6"/>
      <c r="M46" s="6"/>
      <c r="N46" s="6" t="s">
        <v>16</v>
      </c>
      <c r="O46" s="6" t="s">
        <v>6</v>
      </c>
      <c r="P46" s="35">
        <v>900000</v>
      </c>
      <c r="Q46" s="6"/>
      <c r="R46" s="6"/>
      <c r="S46" s="6"/>
      <c r="T46" s="6"/>
    </row>
    <row r="47" ht="18.75" spans="1:20">
      <c r="A47" s="6"/>
      <c r="B47" s="6"/>
      <c r="C47" s="6" t="s">
        <v>11</v>
      </c>
      <c r="D47" s="6">
        <v>120</v>
      </c>
      <c r="E47" s="6" t="s">
        <v>12</v>
      </c>
      <c r="F47" s="6"/>
      <c r="G47" s="6"/>
      <c r="H47" s="6"/>
      <c r="I47" s="6"/>
      <c r="J47" s="6"/>
      <c r="K47" s="6"/>
      <c r="L47" s="6"/>
      <c r="M47" s="6"/>
      <c r="N47" s="6"/>
      <c r="O47" s="6" t="s">
        <v>11</v>
      </c>
      <c r="P47" s="6">
        <v>136</v>
      </c>
      <c r="Q47" s="6" t="s">
        <v>12</v>
      </c>
      <c r="R47" s="6"/>
      <c r="S47" s="6"/>
      <c r="T47" s="6"/>
    </row>
    <row r="48" ht="18.75" spans="1:20">
      <c r="A48" s="6"/>
      <c r="B48" s="6"/>
      <c r="C48" s="6" t="s">
        <v>15</v>
      </c>
      <c r="D48" s="35">
        <v>-12500</v>
      </c>
      <c r="E48" s="6" t="s">
        <v>17</v>
      </c>
      <c r="F48" s="6"/>
      <c r="G48" s="6"/>
      <c r="H48" s="6"/>
      <c r="I48" s="6"/>
      <c r="J48" s="6"/>
      <c r="K48" s="6"/>
      <c r="L48" s="6"/>
      <c r="M48" s="6"/>
      <c r="N48" s="6"/>
      <c r="O48" s="6" t="s">
        <v>15</v>
      </c>
      <c r="P48" s="35">
        <v>-22800</v>
      </c>
      <c r="Q48" s="6" t="s">
        <v>17</v>
      </c>
      <c r="R48" s="6"/>
      <c r="S48" s="6"/>
      <c r="T48" s="6"/>
    </row>
    <row r="49" ht="18.75" spans="1:20">
      <c r="A49" s="6"/>
      <c r="B49" s="6"/>
      <c r="C49" s="6" t="s">
        <v>7</v>
      </c>
      <c r="D49" s="35">
        <v>-75000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 t="s">
        <v>7</v>
      </c>
      <c r="P49" s="35">
        <v>-40000</v>
      </c>
      <c r="Q49" s="6"/>
      <c r="R49" s="6"/>
      <c r="S49" s="6"/>
      <c r="T49" s="6"/>
    </row>
    <row r="50" ht="18.75" spans="1:20">
      <c r="A50" s="6"/>
      <c r="B50" s="6"/>
      <c r="C50" s="6" t="s">
        <v>14</v>
      </c>
      <c r="D50" s="6">
        <v>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 t="s">
        <v>14</v>
      </c>
      <c r="P50" s="6">
        <v>1</v>
      </c>
      <c r="Q50" s="6"/>
      <c r="R50" s="6"/>
      <c r="S50" s="6"/>
      <c r="T50" s="6"/>
    </row>
    <row r="51" ht="18.75" spans="1:2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8.75" spans="1:20">
      <c r="A52" s="6"/>
      <c r="B52" s="6"/>
      <c r="C52" s="6" t="s">
        <v>3</v>
      </c>
      <c r="D52" s="39">
        <f>RATE(D47,D48,D46,D49,D50)</f>
        <v>0.0139635188741355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 t="s">
        <v>3</v>
      </c>
      <c r="P52" s="39">
        <f>RATE(P47,P48,P46,P49,P50)</f>
        <v>0.0251182846640668</v>
      </c>
      <c r="Q52" s="6"/>
      <c r="R52" s="6"/>
      <c r="S52" s="6"/>
      <c r="T52" s="6"/>
    </row>
    <row r="53" ht="18.75" spans="1:2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8.75" spans="1:2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8.75" spans="1:2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8.75" spans="1:20">
      <c r="A56" s="6"/>
      <c r="B56" s="6" t="s">
        <v>18</v>
      </c>
      <c r="C56" s="6" t="s">
        <v>7</v>
      </c>
      <c r="D56" s="37">
        <v>28000000</v>
      </c>
      <c r="E56" s="6"/>
      <c r="F56" s="6"/>
      <c r="G56" s="6"/>
      <c r="H56" s="6"/>
      <c r="I56" s="6"/>
      <c r="J56" s="6"/>
      <c r="K56" s="6"/>
      <c r="L56" s="6"/>
      <c r="M56" s="6"/>
      <c r="N56" s="6" t="s">
        <v>18</v>
      </c>
      <c r="O56" s="6" t="s">
        <v>7</v>
      </c>
      <c r="P56" s="37">
        <v>32000000</v>
      </c>
      <c r="Q56" s="6"/>
      <c r="R56" s="6"/>
      <c r="S56" s="6"/>
      <c r="T56" s="6"/>
    </row>
    <row r="57" ht="18.75" spans="1:20">
      <c r="A57" s="6"/>
      <c r="B57" s="6"/>
      <c r="C57" s="6" t="s">
        <v>13</v>
      </c>
      <c r="D57" s="40">
        <v>0.12</v>
      </c>
      <c r="E57" s="6" t="s">
        <v>4</v>
      </c>
      <c r="F57" s="6"/>
      <c r="G57" s="6"/>
      <c r="H57" s="6"/>
      <c r="I57" s="6"/>
      <c r="J57" s="6"/>
      <c r="K57" s="6"/>
      <c r="L57" s="6"/>
      <c r="M57" s="6"/>
      <c r="N57" s="6"/>
      <c r="O57" s="6" t="s">
        <v>13</v>
      </c>
      <c r="P57" s="40">
        <v>0.14</v>
      </c>
      <c r="Q57" s="6" t="s">
        <v>4</v>
      </c>
      <c r="R57" s="6"/>
      <c r="S57" s="6"/>
      <c r="T57" s="6"/>
    </row>
    <row r="58" ht="18.75" spans="1:20">
      <c r="A58" s="6"/>
      <c r="B58" s="6"/>
      <c r="C58" s="6" t="s">
        <v>13</v>
      </c>
      <c r="D58" s="41">
        <f>(1+D57)^(1/12)-1</f>
        <v>0.00948879293458305</v>
      </c>
      <c r="E58" s="6" t="s">
        <v>5</v>
      </c>
      <c r="F58" s="6"/>
      <c r="G58" s="6"/>
      <c r="H58" s="6"/>
      <c r="I58" s="6"/>
      <c r="J58" s="6"/>
      <c r="K58" s="6"/>
      <c r="L58" s="6"/>
      <c r="M58" s="6"/>
      <c r="N58" s="6"/>
      <c r="O58" s="6" t="s">
        <v>13</v>
      </c>
      <c r="P58" s="41">
        <f>(1+P57)^(1/12)-1</f>
        <v>0.0109788519501735</v>
      </c>
      <c r="Q58" s="6" t="s">
        <v>5</v>
      </c>
      <c r="R58" s="6"/>
      <c r="S58" s="6"/>
      <c r="T58" s="6"/>
    </row>
    <row r="59" ht="18.75" spans="1:20">
      <c r="A59" s="6"/>
      <c r="B59" s="6"/>
      <c r="C59" s="6" t="s">
        <v>11</v>
      </c>
      <c r="D59" s="6">
        <v>60</v>
      </c>
      <c r="E59" s="6" t="s">
        <v>12</v>
      </c>
      <c r="F59" s="6"/>
      <c r="G59" s="6"/>
      <c r="H59" s="6"/>
      <c r="I59" s="6"/>
      <c r="J59" s="6"/>
      <c r="K59" s="6"/>
      <c r="L59" s="6"/>
      <c r="M59" s="6"/>
      <c r="N59" s="6"/>
      <c r="O59" s="6" t="s">
        <v>11</v>
      </c>
      <c r="P59" s="6">
        <v>60</v>
      </c>
      <c r="Q59" s="6" t="s">
        <v>12</v>
      </c>
      <c r="R59" s="6"/>
      <c r="S59" s="6"/>
      <c r="T59" s="6"/>
    </row>
    <row r="60" ht="18.75" spans="1:20">
      <c r="A60" s="6"/>
      <c r="B60" s="6"/>
      <c r="C60" s="6" t="s">
        <v>14</v>
      </c>
      <c r="D60" s="6">
        <v>0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 t="s">
        <v>14</v>
      </c>
      <c r="P60" s="6">
        <v>0</v>
      </c>
      <c r="Q60" s="6"/>
      <c r="R60" s="6"/>
      <c r="S60" s="6"/>
      <c r="T60" s="6"/>
    </row>
    <row r="61" ht="18.75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8.75" spans="1:20">
      <c r="A62" s="6"/>
      <c r="B62" s="6"/>
      <c r="C62" s="6" t="s">
        <v>15</v>
      </c>
      <c r="D62" s="36">
        <f>PMT(D58,D59,,D56,D60)</f>
        <v>-348513.282197925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 t="s">
        <v>15</v>
      </c>
      <c r="P62" s="36">
        <f>PMT(P58,P59,,P56,P60)</f>
        <v>-379638.779296541</v>
      </c>
      <c r="Q62" s="6"/>
      <c r="R62" s="6"/>
      <c r="S62" s="6"/>
      <c r="T62" s="6"/>
    </row>
    <row r="63" ht="18.75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8.75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8.75" spans="1:20">
      <c r="A65" s="6"/>
      <c r="B65" s="6" t="s">
        <v>8</v>
      </c>
      <c r="C65" s="6" t="s">
        <v>13</v>
      </c>
      <c r="D65" s="42">
        <f>D58</f>
        <v>0.00948879293458305</v>
      </c>
      <c r="E65" s="6" t="s">
        <v>5</v>
      </c>
      <c r="F65" s="6"/>
      <c r="G65" s="6"/>
      <c r="H65" s="6"/>
      <c r="I65" s="6"/>
      <c r="J65" s="6"/>
      <c r="K65" s="6"/>
      <c r="L65" s="6"/>
      <c r="M65" s="6"/>
      <c r="N65" s="6" t="s">
        <v>8</v>
      </c>
      <c r="O65" s="6" t="s">
        <v>13</v>
      </c>
      <c r="P65" s="42">
        <f>P58</f>
        <v>0.0109788519501735</v>
      </c>
      <c r="Q65" s="6" t="s">
        <v>5</v>
      </c>
      <c r="R65" s="6"/>
      <c r="S65" s="6"/>
      <c r="T65" s="6"/>
    </row>
    <row r="66" ht="18.75" spans="1:20">
      <c r="A66" s="6"/>
      <c r="B66" s="6"/>
      <c r="C66" s="6" t="s">
        <v>19</v>
      </c>
      <c r="D66" s="37">
        <v>-4000000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 t="s">
        <v>19</v>
      </c>
      <c r="P66" s="37">
        <v>-6000000</v>
      </c>
      <c r="Q66" s="6"/>
      <c r="R66" s="6"/>
      <c r="S66" s="6"/>
      <c r="T66" s="6"/>
    </row>
    <row r="67" ht="18.75" spans="1:20">
      <c r="A67" s="6"/>
      <c r="B67" s="6"/>
      <c r="C67" s="6" t="s">
        <v>20</v>
      </c>
      <c r="D67" s="37">
        <v>-4000000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 t="s">
        <v>20</v>
      </c>
      <c r="P67" s="37">
        <v>-6000000</v>
      </c>
      <c r="Q67" s="6"/>
      <c r="R67" s="6"/>
      <c r="S67" s="6"/>
      <c r="T67" s="6"/>
    </row>
    <row r="68" ht="18.75" spans="1:20">
      <c r="A68" s="6"/>
      <c r="B68" s="6"/>
      <c r="C68" s="6" t="s">
        <v>21</v>
      </c>
      <c r="D68" s="43">
        <f>FV(D65,60,,D66)+FV(D65,30,,D67)</f>
        <v>12359495.4441591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 t="s">
        <v>21</v>
      </c>
      <c r="P68" s="43">
        <f>FV(P65,60,,P66)+FV(P65,30,,P67)</f>
        <v>19878046.0322039</v>
      </c>
      <c r="Q68" s="6"/>
      <c r="R68" s="6"/>
      <c r="S68" s="6"/>
      <c r="T68" s="6"/>
    </row>
    <row r="69" ht="18.75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8.75" spans="1:20">
      <c r="A70" s="6"/>
      <c r="B70" s="6"/>
      <c r="C70" s="6" t="s">
        <v>22</v>
      </c>
      <c r="D70" s="37">
        <v>28000000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 t="s">
        <v>22</v>
      </c>
      <c r="P70" s="37">
        <v>32000000</v>
      </c>
      <c r="Q70" s="6"/>
      <c r="R70" s="6"/>
      <c r="S70" s="6"/>
      <c r="T70" s="6"/>
    </row>
    <row r="71" ht="18.75" spans="1:20">
      <c r="A71" s="6"/>
      <c r="B71" s="6"/>
      <c r="C71" s="6" t="s">
        <v>23</v>
      </c>
      <c r="D71" s="38">
        <f>D70-D68</f>
        <v>15640504.5558409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 t="s">
        <v>23</v>
      </c>
      <c r="P71" s="38">
        <f>P70-P68</f>
        <v>12121953.9677961</v>
      </c>
      <c r="Q71" s="6"/>
      <c r="R71" s="6"/>
      <c r="S71" s="6"/>
      <c r="T71" s="6"/>
    </row>
    <row r="72" ht="18.75" spans="1:20">
      <c r="A72" s="6"/>
      <c r="B72" s="6"/>
      <c r="C72" s="6" t="s">
        <v>11</v>
      </c>
      <c r="D72" s="6">
        <v>60</v>
      </c>
      <c r="E72" s="6" t="s">
        <v>12</v>
      </c>
      <c r="F72" s="6"/>
      <c r="G72" s="6"/>
      <c r="H72" s="6"/>
      <c r="I72" s="6"/>
      <c r="J72" s="6"/>
      <c r="K72" s="6"/>
      <c r="L72" s="6"/>
      <c r="M72" s="6"/>
      <c r="N72" s="6"/>
      <c r="O72" s="6" t="s">
        <v>11</v>
      </c>
      <c r="P72" s="6">
        <v>72</v>
      </c>
      <c r="Q72" s="6" t="s">
        <v>12</v>
      </c>
      <c r="R72" s="6"/>
      <c r="S72" s="6"/>
      <c r="T72" s="6"/>
    </row>
    <row r="73" ht="18.75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8.75" spans="1:20">
      <c r="A74" s="6"/>
      <c r="B74" s="6"/>
      <c r="C74" s="6" t="s">
        <v>15</v>
      </c>
      <c r="D74" s="36">
        <f>PMT(D65,60,,D71,0)</f>
        <v>-194675.842070989</v>
      </c>
      <c r="E74" s="6" t="s">
        <v>17</v>
      </c>
      <c r="F74" s="6"/>
      <c r="G74" s="6"/>
      <c r="H74" s="6"/>
      <c r="I74" s="6"/>
      <c r="J74" s="6"/>
      <c r="K74" s="6"/>
      <c r="L74" s="6"/>
      <c r="M74" s="6"/>
      <c r="N74" s="6"/>
      <c r="O74" s="6" t="s">
        <v>15</v>
      </c>
      <c r="P74" s="36">
        <f>PMT(P65,60,,P71,0)</f>
        <v>-143811.368969468</v>
      </c>
      <c r="Q74" s="6" t="s">
        <v>17</v>
      </c>
      <c r="R74" s="6"/>
      <c r="S74" s="6"/>
      <c r="T74" s="6"/>
    </row>
    <row r="75" ht="18.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8.75" spans="1:20">
      <c r="A76" s="6"/>
      <c r="B76" s="6"/>
      <c r="C76" s="37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37"/>
      <c r="P76" s="6"/>
      <c r="Q76" s="6"/>
      <c r="R76" s="6"/>
      <c r="S76" s="6"/>
      <c r="T76" s="6"/>
    </row>
    <row r="77" ht="18.75" spans="1:20">
      <c r="A77" s="6"/>
      <c r="B77" s="6" t="s">
        <v>16</v>
      </c>
      <c r="C77" s="35" t="s">
        <v>24</v>
      </c>
      <c r="D77" s="32">
        <v>-28000000</v>
      </c>
      <c r="E77" s="6"/>
      <c r="F77" s="6"/>
      <c r="G77" s="6"/>
      <c r="H77" s="6"/>
      <c r="I77" s="6"/>
      <c r="J77" s="6"/>
      <c r="K77" s="6"/>
      <c r="L77" s="6"/>
      <c r="M77" s="6"/>
      <c r="N77" s="6" t="s">
        <v>16</v>
      </c>
      <c r="O77" s="35" t="s">
        <v>24</v>
      </c>
      <c r="P77" s="32">
        <v>-32000000</v>
      </c>
      <c r="Q77" s="6"/>
      <c r="R77" s="6"/>
      <c r="S77" s="6"/>
      <c r="T77" s="6"/>
    </row>
    <row r="78" ht="18.75" spans="1:20">
      <c r="A78" s="6"/>
      <c r="B78" s="6"/>
      <c r="C78" s="35" t="s">
        <v>25</v>
      </c>
      <c r="D78" s="32">
        <v>480000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35" t="s">
        <v>25</v>
      </c>
      <c r="P78" s="32">
        <v>850000</v>
      </c>
      <c r="Q78" s="6"/>
      <c r="R78" s="6"/>
      <c r="S78" s="6"/>
      <c r="T78" s="6"/>
    </row>
    <row r="79" ht="18.75" spans="1:20">
      <c r="A79" s="6"/>
      <c r="B79" s="6"/>
      <c r="C79" s="35" t="s">
        <v>26</v>
      </c>
      <c r="D79" s="32">
        <v>190000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35" t="s">
        <v>26</v>
      </c>
      <c r="P79" s="32">
        <v>275000</v>
      </c>
      <c r="Q79" s="6"/>
      <c r="R79" s="6"/>
      <c r="S79" s="6"/>
      <c r="T79" s="6"/>
    </row>
    <row r="80" ht="18.75" spans="1:20">
      <c r="A80" s="6"/>
      <c r="B80" s="6"/>
      <c r="C80" s="35" t="s">
        <v>27</v>
      </c>
      <c r="D80" s="32">
        <f>D78-D79</f>
        <v>290000</v>
      </c>
      <c r="E80" s="6" t="s">
        <v>17</v>
      </c>
      <c r="F80" s="6"/>
      <c r="G80" s="6"/>
      <c r="H80" s="6"/>
      <c r="I80" s="6"/>
      <c r="J80" s="6"/>
      <c r="K80" s="6"/>
      <c r="L80" s="6"/>
      <c r="M80" s="6"/>
      <c r="N80" s="6"/>
      <c r="O80" s="35" t="s">
        <v>27</v>
      </c>
      <c r="P80" s="32">
        <f>P78-P79</f>
        <v>575000</v>
      </c>
      <c r="Q80" s="6" t="s">
        <v>17</v>
      </c>
      <c r="R80" s="6"/>
      <c r="S80" s="6"/>
      <c r="T80" s="6"/>
    </row>
    <row r="81" ht="18.75" spans="1:20">
      <c r="A81" s="6"/>
      <c r="B81" s="6"/>
      <c r="C81" s="35" t="s">
        <v>28</v>
      </c>
      <c r="D81" s="40">
        <v>0.16</v>
      </c>
      <c r="E81" s="6" t="s">
        <v>4</v>
      </c>
      <c r="F81" s="6"/>
      <c r="G81" s="6"/>
      <c r="H81" s="6"/>
      <c r="I81" s="6"/>
      <c r="J81" s="6"/>
      <c r="K81" s="6"/>
      <c r="L81" s="6"/>
      <c r="M81" s="6"/>
      <c r="N81" s="6"/>
      <c r="O81" s="35" t="s">
        <v>28</v>
      </c>
      <c r="P81" s="40">
        <v>0.22</v>
      </c>
      <c r="Q81" s="6" t="s">
        <v>4</v>
      </c>
      <c r="R81" s="6"/>
      <c r="S81" s="6"/>
      <c r="T81" s="6"/>
    </row>
    <row r="82" ht="18.75" spans="1:20">
      <c r="A82" s="6"/>
      <c r="B82" s="6"/>
      <c r="C82" s="35" t="s">
        <v>28</v>
      </c>
      <c r="D82" s="34">
        <f>(1+D81)^(1/12)-1</f>
        <v>0.0124451379197135</v>
      </c>
      <c r="E82" s="6" t="s">
        <v>5</v>
      </c>
      <c r="F82" s="6"/>
      <c r="G82" s="6"/>
      <c r="H82" s="6"/>
      <c r="I82" s="6"/>
      <c r="J82" s="6"/>
      <c r="K82" s="6"/>
      <c r="L82" s="6"/>
      <c r="M82" s="6"/>
      <c r="N82" s="6"/>
      <c r="O82" s="35" t="s">
        <v>28</v>
      </c>
      <c r="P82" s="34">
        <f>(1+P81)^(1/12)-1</f>
        <v>0.0167089638731281</v>
      </c>
      <c r="Q82" s="6" t="s">
        <v>5</v>
      </c>
      <c r="R82" s="6"/>
      <c r="S82" s="6"/>
      <c r="T82" s="6"/>
    </row>
    <row r="83" ht="18.75" spans="1:20">
      <c r="A83" s="6"/>
      <c r="B83" s="6"/>
      <c r="C83" s="3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35"/>
      <c r="P83" s="6"/>
      <c r="Q83" s="6"/>
      <c r="R83" s="6"/>
      <c r="S83" s="6"/>
      <c r="T83" s="6"/>
    </row>
    <row r="84" ht="18.75" spans="1:20">
      <c r="A84" s="6"/>
      <c r="B84" s="6"/>
      <c r="C84" s="35" t="s">
        <v>29</v>
      </c>
      <c r="D84" s="36">
        <f>D80/D82+D77</f>
        <v>-4697727.1066935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35" t="s">
        <v>29</v>
      </c>
      <c r="P84" s="36">
        <f>P80/P82+P77</f>
        <v>2412666.42061105</v>
      </c>
      <c r="Q84" s="6"/>
      <c r="R84" s="6"/>
      <c r="S84" s="6"/>
      <c r="T84" s="6"/>
    </row>
    <row r="85" ht="18.75" spans="1:20">
      <c r="A85" s="6"/>
      <c r="B85" s="6"/>
      <c r="C85" s="35"/>
      <c r="D85" s="44" t="s">
        <v>30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35"/>
      <c r="P85" s="44" t="s">
        <v>31</v>
      </c>
      <c r="Q85" s="6"/>
      <c r="R85" s="6"/>
      <c r="S85" s="6"/>
      <c r="T85" s="6"/>
    </row>
    <row r="86" ht="18.75" spans="1:20">
      <c r="A86" s="6"/>
      <c r="B86" s="6"/>
      <c r="C86" s="3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35"/>
      <c r="P86" s="6"/>
      <c r="Q86" s="6"/>
      <c r="R86" s="6"/>
      <c r="S86" s="6"/>
      <c r="T86" s="6"/>
    </row>
    <row r="87" ht="18.75" spans="1:20">
      <c r="A87" s="6"/>
      <c r="B87" s="6"/>
      <c r="C87" s="3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35"/>
      <c r="P87" s="6"/>
      <c r="Q87" s="6"/>
      <c r="R87" s="6"/>
      <c r="S87" s="6"/>
      <c r="T87" s="6"/>
    </row>
    <row r="88" ht="18.75" spans="1:20">
      <c r="A88" s="6"/>
      <c r="B88" s="6"/>
      <c r="C88" s="3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35"/>
      <c r="P88" s="6"/>
      <c r="Q88" s="6"/>
      <c r="R88" s="6"/>
      <c r="S88" s="6"/>
      <c r="T88" s="6"/>
    </row>
    <row r="89" ht="18.75" spans="1:20">
      <c r="A89" s="6"/>
      <c r="B89" s="6"/>
      <c r="C89" s="3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35"/>
      <c r="P89" s="6"/>
      <c r="Q89" s="6"/>
      <c r="R89" s="6"/>
      <c r="S89" s="6"/>
      <c r="T89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opLeftCell="A8" workbookViewId="0">
      <selection activeCell="J26" sqref="J26"/>
    </sheetView>
  </sheetViews>
  <sheetFormatPr defaultColWidth="9.14285714285714" defaultRowHeight="12.75" outlineLevelCol="6"/>
  <cols>
    <col min="2" max="2" width="4.14285714285714" customWidth="1"/>
    <col min="3" max="3" width="10.2857142857143" customWidth="1"/>
    <col min="4" max="4" width="30.4285714285714" customWidth="1"/>
    <col min="5" max="5" width="21.2857142857143" customWidth="1"/>
    <col min="6" max="6" width="20.2857142857143" customWidth="1"/>
  </cols>
  <sheetData>
    <row r="1" ht="18.75" spans="1:7">
      <c r="A1" s="6"/>
      <c r="B1" s="6"/>
      <c r="C1" s="6"/>
      <c r="D1" s="6"/>
      <c r="E1" s="6"/>
      <c r="F1" s="6"/>
      <c r="G1" s="6"/>
    </row>
    <row r="2" ht="18.75" spans="1:7">
      <c r="A2" s="6"/>
      <c r="B2" s="6"/>
      <c r="C2" s="6"/>
      <c r="D2" s="6"/>
      <c r="E2" s="6"/>
      <c r="F2" s="6"/>
      <c r="G2" s="6"/>
    </row>
    <row r="3" ht="19.5" spans="1:7">
      <c r="A3" s="6"/>
      <c r="B3" s="6"/>
      <c r="C3" s="6"/>
      <c r="D3" s="6"/>
      <c r="E3" s="6"/>
      <c r="F3" s="6"/>
      <c r="G3" s="6"/>
    </row>
    <row r="4" ht="36.75" spans="1:7">
      <c r="A4" s="6"/>
      <c r="B4" s="6"/>
      <c r="C4" s="11"/>
      <c r="D4" s="12" t="s">
        <v>32</v>
      </c>
      <c r="E4" s="13" t="s">
        <v>33</v>
      </c>
      <c r="F4" s="6"/>
      <c r="G4" s="6"/>
    </row>
    <row r="5" ht="54.75" spans="1:7">
      <c r="A5" s="6"/>
      <c r="B5" s="6"/>
      <c r="C5" s="14" t="s">
        <v>34</v>
      </c>
      <c r="D5" s="15">
        <v>1000000</v>
      </c>
      <c r="E5" s="15">
        <v>825500</v>
      </c>
      <c r="F5" s="16"/>
      <c r="G5" s="16"/>
    </row>
    <row r="6" ht="54.75" spans="1:7">
      <c r="A6" s="6"/>
      <c r="B6" s="6"/>
      <c r="C6" s="14" t="s">
        <v>35</v>
      </c>
      <c r="D6" s="15">
        <v>400000</v>
      </c>
      <c r="E6" s="15">
        <v>340000</v>
      </c>
      <c r="F6" s="16"/>
      <c r="G6" s="16"/>
    </row>
    <row r="7" ht="36.75" spans="1:7">
      <c r="A7" s="6"/>
      <c r="B7" s="6"/>
      <c r="C7" s="14" t="s">
        <v>36</v>
      </c>
      <c r="D7" s="15">
        <v>98000</v>
      </c>
      <c r="E7" s="15">
        <v>85000</v>
      </c>
      <c r="F7" s="16"/>
      <c r="G7" s="16"/>
    </row>
    <row r="8" ht="54.75" spans="1:7">
      <c r="A8" s="6"/>
      <c r="B8" s="6"/>
      <c r="C8" s="14" t="s">
        <v>37</v>
      </c>
      <c r="D8" s="15">
        <v>125000</v>
      </c>
      <c r="E8" s="15">
        <v>70000</v>
      </c>
      <c r="F8" s="16"/>
      <c r="G8" s="16"/>
    </row>
    <row r="9" ht="90.75" spans="1:7">
      <c r="A9" s="6"/>
      <c r="B9" s="6"/>
      <c r="C9" s="14" t="s">
        <v>38</v>
      </c>
      <c r="D9" s="15">
        <v>112000</v>
      </c>
      <c r="E9" s="15">
        <v>87500</v>
      </c>
      <c r="F9" s="16"/>
      <c r="G9" s="16"/>
    </row>
    <row r="10" ht="36.75" spans="1:7">
      <c r="A10" s="6"/>
      <c r="B10" s="6"/>
      <c r="C10" s="17" t="s">
        <v>39</v>
      </c>
      <c r="D10" s="18" t="s">
        <v>40</v>
      </c>
      <c r="E10" s="19" t="s">
        <v>40</v>
      </c>
      <c r="F10" s="6"/>
      <c r="G10" s="6"/>
    </row>
    <row r="11" ht="18.75" spans="1:7">
      <c r="A11" s="6"/>
      <c r="B11" s="6"/>
      <c r="C11" s="2" t="s">
        <v>28</v>
      </c>
      <c r="D11" s="20">
        <v>0.22</v>
      </c>
      <c r="E11" s="6"/>
      <c r="F11" s="6"/>
      <c r="G11" s="6"/>
    </row>
    <row r="12" ht="19.5" spans="1:7">
      <c r="A12" s="6"/>
      <c r="B12" s="6"/>
      <c r="C12" s="6"/>
      <c r="D12" s="6"/>
      <c r="E12" s="6"/>
      <c r="F12" s="6"/>
      <c r="G12" s="6"/>
    </row>
    <row r="13" ht="36.75" spans="1:7">
      <c r="A13" s="6"/>
      <c r="B13" s="6"/>
      <c r="C13" s="2" t="s">
        <v>1</v>
      </c>
      <c r="D13" s="12" t="s">
        <v>32</v>
      </c>
      <c r="E13" s="13" t="s">
        <v>33</v>
      </c>
      <c r="F13" s="21" t="s">
        <v>41</v>
      </c>
      <c r="G13" s="6"/>
    </row>
    <row r="14" ht="18.75" spans="1:7">
      <c r="A14" s="6"/>
      <c r="B14" s="6"/>
      <c r="C14" s="2">
        <v>0</v>
      </c>
      <c r="D14" s="5">
        <f>-D5</f>
        <v>-1000000</v>
      </c>
      <c r="E14" s="5">
        <f>-$E$5</f>
        <v>-825500</v>
      </c>
      <c r="F14" s="22">
        <f t="shared" ref="F14:F30" si="0">D14-E14</f>
        <v>-174500</v>
      </c>
      <c r="G14" s="6"/>
    </row>
    <row r="15" ht="18.75" spans="1:7">
      <c r="A15" s="6"/>
      <c r="B15" s="6"/>
      <c r="C15" s="2">
        <v>1</v>
      </c>
      <c r="D15" s="5">
        <f t="shared" ref="D15:D25" si="1">$D$6-$D$7</f>
        <v>302000</v>
      </c>
      <c r="E15" s="5">
        <f t="shared" ref="E15:E25" si="2">$E$6-$E$7</f>
        <v>255000</v>
      </c>
      <c r="F15" s="22">
        <f t="shared" si="0"/>
        <v>47000</v>
      </c>
      <c r="G15" s="6"/>
    </row>
    <row r="16" ht="18.75" spans="1:7">
      <c r="A16" s="6"/>
      <c r="B16" s="6"/>
      <c r="C16" s="2">
        <v>2</v>
      </c>
      <c r="D16" s="5">
        <f t="shared" si="1"/>
        <v>302000</v>
      </c>
      <c r="E16" s="5">
        <f t="shared" si="2"/>
        <v>255000</v>
      </c>
      <c r="F16" s="22">
        <f t="shared" si="0"/>
        <v>47000</v>
      </c>
      <c r="G16" s="6"/>
    </row>
    <row r="17" ht="18.75" spans="1:7">
      <c r="A17" s="6"/>
      <c r="B17" s="6"/>
      <c r="C17" s="2">
        <v>3</v>
      </c>
      <c r="D17" s="5">
        <f t="shared" si="1"/>
        <v>302000</v>
      </c>
      <c r="E17" s="5">
        <f t="shared" si="2"/>
        <v>255000</v>
      </c>
      <c r="F17" s="22">
        <f t="shared" si="0"/>
        <v>47000</v>
      </c>
      <c r="G17" s="6"/>
    </row>
    <row r="18" ht="18.75" spans="1:7">
      <c r="A18" s="6"/>
      <c r="B18" s="6"/>
      <c r="C18" s="2">
        <v>4</v>
      </c>
      <c r="D18" s="5">
        <f t="shared" si="1"/>
        <v>302000</v>
      </c>
      <c r="E18" s="5">
        <f t="shared" si="2"/>
        <v>255000</v>
      </c>
      <c r="F18" s="22">
        <f t="shared" si="0"/>
        <v>47000</v>
      </c>
      <c r="G18" s="6"/>
    </row>
    <row r="19" ht="18.75" spans="1:7">
      <c r="A19" s="6"/>
      <c r="B19" s="6"/>
      <c r="C19" s="2">
        <v>5</v>
      </c>
      <c r="D19" s="5">
        <f t="shared" si="1"/>
        <v>302000</v>
      </c>
      <c r="E19" s="5">
        <f t="shared" si="2"/>
        <v>255000</v>
      </c>
      <c r="F19" s="22">
        <f t="shared" si="0"/>
        <v>47000</v>
      </c>
      <c r="G19" s="6"/>
    </row>
    <row r="20" ht="18.75" spans="1:7">
      <c r="A20" s="6"/>
      <c r="B20" s="6"/>
      <c r="C20" s="2">
        <v>6</v>
      </c>
      <c r="D20" s="5">
        <f t="shared" si="1"/>
        <v>302000</v>
      </c>
      <c r="E20" s="5">
        <f t="shared" si="2"/>
        <v>255000</v>
      </c>
      <c r="F20" s="22">
        <f t="shared" si="0"/>
        <v>47000</v>
      </c>
      <c r="G20" s="6"/>
    </row>
    <row r="21" ht="18.75" spans="1:7">
      <c r="A21" s="6"/>
      <c r="B21" s="6"/>
      <c r="C21" s="2">
        <v>7</v>
      </c>
      <c r="D21" s="5">
        <f t="shared" si="1"/>
        <v>302000</v>
      </c>
      <c r="E21" s="5">
        <f t="shared" si="2"/>
        <v>255000</v>
      </c>
      <c r="F21" s="22">
        <f t="shared" si="0"/>
        <v>47000</v>
      </c>
      <c r="G21" s="6"/>
    </row>
    <row r="22" ht="18.75" spans="1:7">
      <c r="A22" s="6"/>
      <c r="B22" s="6"/>
      <c r="C22" s="2">
        <v>8</v>
      </c>
      <c r="D22" s="5">
        <f t="shared" si="1"/>
        <v>302000</v>
      </c>
      <c r="E22" s="5">
        <f t="shared" si="2"/>
        <v>255000</v>
      </c>
      <c r="F22" s="22">
        <f t="shared" si="0"/>
        <v>47000</v>
      </c>
      <c r="G22" s="6"/>
    </row>
    <row r="23" ht="18.75" spans="1:7">
      <c r="A23" s="6"/>
      <c r="B23" s="6"/>
      <c r="C23" s="2">
        <v>9</v>
      </c>
      <c r="D23" s="5">
        <f t="shared" si="1"/>
        <v>302000</v>
      </c>
      <c r="E23" s="5">
        <f t="shared" si="2"/>
        <v>255000</v>
      </c>
      <c r="F23" s="22">
        <f t="shared" si="0"/>
        <v>47000</v>
      </c>
      <c r="G23" s="6"/>
    </row>
    <row r="24" ht="18.75" spans="1:7">
      <c r="A24" s="6"/>
      <c r="B24" s="6"/>
      <c r="C24" s="2">
        <v>10</v>
      </c>
      <c r="D24" s="5">
        <f t="shared" si="1"/>
        <v>302000</v>
      </c>
      <c r="E24" s="5">
        <f t="shared" si="2"/>
        <v>255000</v>
      </c>
      <c r="F24" s="22">
        <f t="shared" si="0"/>
        <v>47000</v>
      </c>
      <c r="G24" s="6"/>
    </row>
    <row r="25" ht="18.75" spans="1:7">
      <c r="A25" s="6"/>
      <c r="B25" s="6"/>
      <c r="C25" s="2">
        <v>11</v>
      </c>
      <c r="D25" s="5">
        <f t="shared" si="1"/>
        <v>302000</v>
      </c>
      <c r="E25" s="5">
        <f t="shared" si="2"/>
        <v>255000</v>
      </c>
      <c r="F25" s="22">
        <f t="shared" si="0"/>
        <v>47000</v>
      </c>
      <c r="G25" s="6"/>
    </row>
    <row r="26" ht="18.75" spans="1:7">
      <c r="A26" s="6"/>
      <c r="B26" s="6"/>
      <c r="C26" s="2">
        <v>12</v>
      </c>
      <c r="D26" s="5">
        <f>$D$6-$D$7-D9</f>
        <v>190000</v>
      </c>
      <c r="E26" s="5">
        <f>$E$6-$E$7-E9</f>
        <v>167500</v>
      </c>
      <c r="F26" s="22">
        <f t="shared" si="0"/>
        <v>22500</v>
      </c>
      <c r="G26" s="6"/>
    </row>
    <row r="27" ht="18.75" spans="1:7">
      <c r="A27" s="6"/>
      <c r="B27" s="6"/>
      <c r="C27" s="2">
        <v>13</v>
      </c>
      <c r="D27" s="5">
        <f t="shared" ref="D27:D29" si="3">$D$6-$D$7</f>
        <v>302000</v>
      </c>
      <c r="E27" s="5">
        <f t="shared" ref="E27:E29" si="4">$E$6-$E$7</f>
        <v>255000</v>
      </c>
      <c r="F27" s="22">
        <f t="shared" si="0"/>
        <v>47000</v>
      </c>
      <c r="G27" s="6"/>
    </row>
    <row r="28" ht="18.75" spans="1:7">
      <c r="A28" s="6"/>
      <c r="B28" s="6"/>
      <c r="C28" s="2">
        <v>14</v>
      </c>
      <c r="D28" s="5">
        <f t="shared" si="3"/>
        <v>302000</v>
      </c>
      <c r="E28" s="5">
        <f t="shared" si="4"/>
        <v>255000</v>
      </c>
      <c r="F28" s="22">
        <f t="shared" si="0"/>
        <v>47000</v>
      </c>
      <c r="G28" s="6"/>
    </row>
    <row r="29" ht="18.75" spans="1:7">
      <c r="A29" s="6"/>
      <c r="B29" s="6"/>
      <c r="C29" s="2">
        <v>15</v>
      </c>
      <c r="D29" s="5">
        <f t="shared" si="3"/>
        <v>302000</v>
      </c>
      <c r="E29" s="5">
        <f t="shared" si="4"/>
        <v>255000</v>
      </c>
      <c r="F29" s="22">
        <f t="shared" si="0"/>
        <v>47000</v>
      </c>
      <c r="G29" s="6"/>
    </row>
    <row r="30" ht="18.75" spans="1:7">
      <c r="A30" s="6"/>
      <c r="B30" s="6"/>
      <c r="C30" s="2">
        <v>16</v>
      </c>
      <c r="D30" s="5">
        <f>$D$6-$D$7+D8</f>
        <v>427000</v>
      </c>
      <c r="E30" s="5">
        <f>$E$6-$E$7+$E$8</f>
        <v>325000</v>
      </c>
      <c r="F30" s="22">
        <f t="shared" si="0"/>
        <v>102000</v>
      </c>
      <c r="G30" s="6"/>
    </row>
    <row r="31" ht="18.75" spans="1:7">
      <c r="A31" s="6"/>
      <c r="B31" s="6"/>
      <c r="C31" s="7"/>
      <c r="D31" s="7"/>
      <c r="E31" s="7"/>
      <c r="F31" s="7"/>
      <c r="G31" s="6"/>
    </row>
    <row r="32" ht="18.75" spans="1:7">
      <c r="A32" s="6"/>
      <c r="B32" s="6"/>
      <c r="C32" s="7"/>
      <c r="D32" s="7"/>
      <c r="E32" s="7"/>
      <c r="F32" s="7"/>
      <c r="G32" s="6"/>
    </row>
    <row r="33" ht="18.75" spans="1:7">
      <c r="A33" s="6"/>
      <c r="B33" s="6"/>
      <c r="C33" s="21" t="s">
        <v>29</v>
      </c>
      <c r="D33" s="23">
        <f>NPV($D$11,D15:D30)+D14</f>
        <v>310621.891953404</v>
      </c>
      <c r="E33" s="23">
        <f>NPV($D$11,E15:E30)+E14</f>
        <v>280325.339158176</v>
      </c>
      <c r="F33" s="21"/>
      <c r="G33" s="6"/>
    </row>
    <row r="34" ht="18.75" spans="1:7">
      <c r="A34" s="6"/>
      <c r="B34" s="6"/>
      <c r="C34" s="21" t="s">
        <v>42</v>
      </c>
      <c r="D34" s="23">
        <f>-PMT($D$11,$C$30,D33)</f>
        <v>71296.9665215765</v>
      </c>
      <c r="E34" s="23">
        <f>-PMT($D$11,$C$30,E33)</f>
        <v>64343.0062041738</v>
      </c>
      <c r="F34" s="21"/>
      <c r="G34" s="6"/>
    </row>
    <row r="35" ht="18.75" spans="1:7">
      <c r="A35" s="6"/>
      <c r="B35" s="6"/>
      <c r="C35" s="21" t="s">
        <v>43</v>
      </c>
      <c r="D35" s="24">
        <f t="shared" ref="D35:F35" si="5">IRR(D14:D30)</f>
        <v>0.29636221176517</v>
      </c>
      <c r="E35" s="24">
        <f t="shared" si="5"/>
        <v>0.303489825845877</v>
      </c>
      <c r="F35" s="24">
        <f t="shared" si="5"/>
        <v>0.262623464996524</v>
      </c>
      <c r="G35" s="6"/>
    </row>
    <row r="36" ht="18.75" spans="1:7">
      <c r="A36" s="6"/>
      <c r="B36" s="6"/>
      <c r="C36" s="21" t="s">
        <v>44</v>
      </c>
      <c r="D36" s="25" t="s">
        <v>45</v>
      </c>
      <c r="E36" s="25"/>
      <c r="F36" s="25"/>
      <c r="G36" s="6"/>
    </row>
    <row r="37" ht="18.75" spans="1:7">
      <c r="A37" s="6"/>
      <c r="B37" s="6"/>
      <c r="C37" s="7"/>
      <c r="D37" s="7"/>
      <c r="E37" s="7"/>
      <c r="F37" s="7"/>
      <c r="G37" s="6"/>
    </row>
    <row r="38" ht="18.75" spans="1:7">
      <c r="A38" s="6"/>
      <c r="B38" s="6"/>
      <c r="C38" s="7"/>
      <c r="D38" s="7"/>
      <c r="E38" s="7"/>
      <c r="F38" s="7"/>
      <c r="G38" s="6"/>
    </row>
    <row r="39" ht="19.5" spans="1:7">
      <c r="A39" s="6"/>
      <c r="B39" s="6"/>
      <c r="C39" s="7"/>
      <c r="D39" s="7"/>
      <c r="E39" s="7"/>
      <c r="F39" s="7"/>
      <c r="G39" s="6"/>
    </row>
    <row r="40" ht="36.75" spans="1:7">
      <c r="A40" s="6"/>
      <c r="B40" s="6" t="s">
        <v>8</v>
      </c>
      <c r="C40" s="2" t="s">
        <v>1</v>
      </c>
      <c r="D40" s="12" t="s">
        <v>32</v>
      </c>
      <c r="E40" s="13" t="s">
        <v>33</v>
      </c>
      <c r="F40" s="7"/>
      <c r="G40" s="6"/>
    </row>
    <row r="41" ht="18.75" spans="1:7">
      <c r="A41" s="6"/>
      <c r="B41" s="6"/>
      <c r="C41" s="2">
        <v>0</v>
      </c>
      <c r="D41" s="5">
        <f t="shared" ref="D41:D57" si="6">D14</f>
        <v>-1000000</v>
      </c>
      <c r="E41" s="4">
        <f>-$E$5</f>
        <v>-825500</v>
      </c>
      <c r="F41" s="7"/>
      <c r="G41" s="6"/>
    </row>
    <row r="42" ht="18.75" spans="1:7">
      <c r="A42" s="6"/>
      <c r="B42" s="6"/>
      <c r="C42" s="2">
        <v>1</v>
      </c>
      <c r="D42" s="5">
        <f t="shared" si="6"/>
        <v>302000</v>
      </c>
      <c r="E42" s="4">
        <f t="shared" ref="E42:E52" si="7">$E$6-$E$7</f>
        <v>255000</v>
      </c>
      <c r="F42" s="7"/>
      <c r="G42" s="6"/>
    </row>
    <row r="43" ht="18.75" spans="1:7">
      <c r="A43" s="6"/>
      <c r="B43" s="6"/>
      <c r="C43" s="2">
        <v>2</v>
      </c>
      <c r="D43" s="5">
        <f t="shared" si="6"/>
        <v>302000</v>
      </c>
      <c r="E43" s="4">
        <f t="shared" si="7"/>
        <v>255000</v>
      </c>
      <c r="F43" s="7"/>
      <c r="G43" s="6"/>
    </row>
    <row r="44" ht="18.75" spans="1:7">
      <c r="A44" s="6"/>
      <c r="B44" s="6"/>
      <c r="C44" s="2">
        <v>3</v>
      </c>
      <c r="D44" s="5">
        <f t="shared" si="6"/>
        <v>302000</v>
      </c>
      <c r="E44" s="4">
        <f t="shared" si="7"/>
        <v>255000</v>
      </c>
      <c r="F44" s="7"/>
      <c r="G44" s="6"/>
    </row>
    <row r="45" ht="18.75" spans="1:7">
      <c r="A45" s="6"/>
      <c r="B45" s="6"/>
      <c r="C45" s="2">
        <v>4</v>
      </c>
      <c r="D45" s="5">
        <f t="shared" si="6"/>
        <v>302000</v>
      </c>
      <c r="E45" s="4">
        <f t="shared" si="7"/>
        <v>255000</v>
      </c>
      <c r="F45" s="7"/>
      <c r="G45" s="6"/>
    </row>
    <row r="46" ht="18.75" spans="1:7">
      <c r="A46" s="6"/>
      <c r="B46" s="6"/>
      <c r="C46" s="2">
        <v>5</v>
      </c>
      <c r="D46" s="5">
        <f t="shared" si="6"/>
        <v>302000</v>
      </c>
      <c r="E46" s="4">
        <f t="shared" si="7"/>
        <v>255000</v>
      </c>
      <c r="F46" s="7"/>
      <c r="G46" s="6"/>
    </row>
    <row r="47" ht="18.75" spans="1:7">
      <c r="A47" s="6"/>
      <c r="B47" s="6"/>
      <c r="C47" s="2">
        <v>6</v>
      </c>
      <c r="D47" s="5">
        <f t="shared" si="6"/>
        <v>302000</v>
      </c>
      <c r="E47" s="4">
        <f t="shared" si="7"/>
        <v>255000</v>
      </c>
      <c r="F47" s="7"/>
      <c r="G47" s="6"/>
    </row>
    <row r="48" ht="18.75" spans="1:7">
      <c r="A48" s="6"/>
      <c r="B48" s="6"/>
      <c r="C48" s="2">
        <v>7</v>
      </c>
      <c r="D48" s="5">
        <f t="shared" si="6"/>
        <v>302000</v>
      </c>
      <c r="E48" s="4">
        <f t="shared" si="7"/>
        <v>255000</v>
      </c>
      <c r="F48" s="7"/>
      <c r="G48" s="6"/>
    </row>
    <row r="49" ht="18.75" spans="1:7">
      <c r="A49" s="6"/>
      <c r="B49" s="6"/>
      <c r="C49" s="2">
        <v>8</v>
      </c>
      <c r="D49" s="5">
        <f t="shared" si="6"/>
        <v>302000</v>
      </c>
      <c r="E49" s="4">
        <f t="shared" si="7"/>
        <v>255000</v>
      </c>
      <c r="F49" s="7"/>
      <c r="G49" s="6"/>
    </row>
    <row r="50" ht="18.75" spans="1:7">
      <c r="A50" s="6"/>
      <c r="B50" s="6"/>
      <c r="C50" s="2">
        <v>9</v>
      </c>
      <c r="D50" s="5">
        <f t="shared" si="6"/>
        <v>302000</v>
      </c>
      <c r="E50" s="4">
        <f t="shared" si="7"/>
        <v>255000</v>
      </c>
      <c r="F50" s="7"/>
      <c r="G50" s="6"/>
    </row>
    <row r="51" ht="18.75" spans="1:7">
      <c r="A51" s="6"/>
      <c r="B51" s="6"/>
      <c r="C51" s="2">
        <v>10</v>
      </c>
      <c r="D51" s="5">
        <f t="shared" si="6"/>
        <v>302000</v>
      </c>
      <c r="E51" s="4">
        <f t="shared" si="7"/>
        <v>255000</v>
      </c>
      <c r="F51" s="7"/>
      <c r="G51" s="6"/>
    </row>
    <row r="52" ht="18.75" spans="1:7">
      <c r="A52" s="6"/>
      <c r="B52" s="6"/>
      <c r="C52" s="2">
        <v>11</v>
      </c>
      <c r="D52" s="5">
        <f t="shared" si="6"/>
        <v>302000</v>
      </c>
      <c r="E52" s="4">
        <f t="shared" si="7"/>
        <v>255000</v>
      </c>
      <c r="F52" s="7"/>
      <c r="G52" s="6"/>
    </row>
    <row r="53" ht="18.75" spans="1:7">
      <c r="A53" s="6"/>
      <c r="B53" s="6"/>
      <c r="C53" s="2">
        <v>12</v>
      </c>
      <c r="D53" s="5">
        <f t="shared" si="6"/>
        <v>190000</v>
      </c>
      <c r="E53" s="4">
        <f>$E$6-$E$7-E9</f>
        <v>167500</v>
      </c>
      <c r="F53" s="7"/>
      <c r="G53" s="6"/>
    </row>
    <row r="54" ht="18.75" spans="1:7">
      <c r="A54" s="6"/>
      <c r="B54" s="6"/>
      <c r="C54" s="2">
        <v>13</v>
      </c>
      <c r="D54" s="5">
        <f t="shared" si="6"/>
        <v>302000</v>
      </c>
      <c r="E54" s="4">
        <f t="shared" ref="E54:E58" si="8">$E$6-$E$7</f>
        <v>255000</v>
      </c>
      <c r="F54" s="7"/>
      <c r="G54" s="6"/>
    </row>
    <row r="55" ht="18.75" spans="1:7">
      <c r="A55" s="6"/>
      <c r="B55" s="6"/>
      <c r="C55" s="2">
        <v>14</v>
      </c>
      <c r="D55" s="5">
        <f t="shared" si="6"/>
        <v>302000</v>
      </c>
      <c r="E55" s="4">
        <f t="shared" si="8"/>
        <v>255000</v>
      </c>
      <c r="F55" s="7"/>
      <c r="G55" s="6"/>
    </row>
    <row r="56" ht="18.75" spans="1:7">
      <c r="A56" s="6"/>
      <c r="B56" s="6"/>
      <c r="C56" s="2">
        <v>15</v>
      </c>
      <c r="D56" s="5">
        <f t="shared" si="6"/>
        <v>302000</v>
      </c>
      <c r="E56" s="4">
        <f t="shared" si="8"/>
        <v>255000</v>
      </c>
      <c r="F56" s="7"/>
      <c r="G56" s="6"/>
    </row>
    <row r="57" ht="18.75" spans="1:7">
      <c r="A57" s="6"/>
      <c r="B57" s="6"/>
      <c r="C57" s="2">
        <v>16</v>
      </c>
      <c r="D57" s="5">
        <f t="shared" si="6"/>
        <v>427000</v>
      </c>
      <c r="E57" s="4">
        <f t="shared" si="8"/>
        <v>255000</v>
      </c>
      <c r="F57" s="7"/>
      <c r="G57" s="6"/>
    </row>
    <row r="58" ht="18.75" spans="1:7">
      <c r="A58" s="6"/>
      <c r="B58" s="6"/>
      <c r="C58" s="2">
        <v>17</v>
      </c>
      <c r="D58" s="26"/>
      <c r="E58" s="4">
        <f t="shared" si="8"/>
        <v>255000</v>
      </c>
      <c r="F58" s="7"/>
      <c r="G58" s="6"/>
    </row>
    <row r="59" ht="18.75" spans="1:7">
      <c r="A59" s="6"/>
      <c r="B59" s="6"/>
      <c r="C59" s="2">
        <v>18</v>
      </c>
      <c r="D59" s="6"/>
      <c r="E59" s="4">
        <f>$E$6-$E$7+E8</f>
        <v>325000</v>
      </c>
      <c r="F59" s="7"/>
      <c r="G59" s="6"/>
    </row>
    <row r="60" ht="18.75" spans="1:7">
      <c r="A60" s="6"/>
      <c r="B60" s="6"/>
      <c r="C60" s="6"/>
      <c r="D60" s="6"/>
      <c r="E60" s="6"/>
      <c r="F60" s="7"/>
      <c r="G60" s="6"/>
    </row>
    <row r="61" ht="18.75" spans="1:7">
      <c r="A61" s="6"/>
      <c r="B61" s="6"/>
      <c r="C61" s="27" t="s">
        <v>29</v>
      </c>
      <c r="D61" s="26">
        <f>D33</f>
        <v>310621.891953404</v>
      </c>
      <c r="E61" s="28">
        <f>NPV(D11,E42:E59)+E41</f>
        <v>295162.911042725</v>
      </c>
      <c r="F61" s="7"/>
      <c r="G61" s="6"/>
    </row>
    <row r="62" ht="18.75" spans="1:7">
      <c r="A62" s="6"/>
      <c r="B62" s="6"/>
      <c r="C62" s="27" t="s">
        <v>42</v>
      </c>
      <c r="D62" s="29">
        <f>D34</f>
        <v>71296.9665215765</v>
      </c>
      <c r="E62" s="29">
        <f>-PMT(D11,C59,E61)</f>
        <v>66799.1895874044</v>
      </c>
      <c r="F62" s="6"/>
      <c r="G62" s="6"/>
    </row>
    <row r="63" ht="18.75" spans="1:7">
      <c r="A63" s="6"/>
      <c r="B63" s="6"/>
      <c r="C63" s="7"/>
      <c r="D63" s="30" t="s">
        <v>46</v>
      </c>
      <c r="E63" s="6"/>
      <c r="F63" s="6"/>
      <c r="G63" s="6"/>
    </row>
    <row r="64" ht="18.75" spans="1:7">
      <c r="A64" s="6"/>
      <c r="B64" s="6"/>
      <c r="C64" s="6"/>
      <c r="D64" s="6"/>
      <c r="E64" s="6"/>
      <c r="F64" s="6"/>
      <c r="G64" s="6"/>
    </row>
    <row r="65" ht="18.75" spans="1:7">
      <c r="A65" s="6"/>
      <c r="B65" s="6"/>
      <c r="C65" s="6"/>
      <c r="D65" s="6"/>
      <c r="E65" s="6"/>
      <c r="F65" s="6"/>
      <c r="G65" s="6"/>
    </row>
  </sheetData>
  <mergeCells count="1">
    <mergeCell ref="D36:F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F24" sqref="F24"/>
    </sheetView>
  </sheetViews>
  <sheetFormatPr defaultColWidth="9.14285714285714" defaultRowHeight="12.75" outlineLevelCol="7"/>
  <cols>
    <col min="3" max="3" width="7.28571428571429" customWidth="1"/>
    <col min="4" max="4" width="20.2857142857143" customWidth="1"/>
    <col min="5" max="5" width="35.5714285714286" customWidth="1"/>
    <col min="6" max="6" width="18.7142857142857" customWidth="1"/>
  </cols>
  <sheetData>
    <row r="1" ht="15" spans="1:8">
      <c r="A1" s="1"/>
      <c r="B1" s="1"/>
      <c r="C1" s="1"/>
      <c r="D1" s="1"/>
      <c r="E1" s="1"/>
      <c r="F1" s="1"/>
      <c r="G1" s="1"/>
      <c r="H1" s="1"/>
    </row>
    <row r="2" ht="18.75" spans="1:8">
      <c r="A2" s="1"/>
      <c r="B2" s="1"/>
      <c r="C2" s="2" t="s">
        <v>47</v>
      </c>
      <c r="D2" s="2" t="s">
        <v>2</v>
      </c>
      <c r="E2" s="2" t="s">
        <v>48</v>
      </c>
      <c r="F2" s="2" t="s">
        <v>49</v>
      </c>
      <c r="G2" s="1"/>
      <c r="H2" s="1"/>
    </row>
    <row r="3" ht="18.75" spans="1:8">
      <c r="A3" s="1"/>
      <c r="B3" s="1"/>
      <c r="C3" s="2">
        <v>0</v>
      </c>
      <c r="D3" s="3">
        <v>-520000</v>
      </c>
      <c r="E3" s="4"/>
      <c r="F3" s="4"/>
      <c r="G3" s="1"/>
      <c r="H3" s="1"/>
    </row>
    <row r="4" ht="18.75" spans="1:8">
      <c r="A4" s="1"/>
      <c r="B4" s="1"/>
      <c r="C4" s="2">
        <v>1</v>
      </c>
      <c r="D4" s="5">
        <v>100000</v>
      </c>
      <c r="E4" s="5">
        <f>-PV($D$15,C4,,D4)</f>
        <v>87719.298245614</v>
      </c>
      <c r="F4" s="5">
        <f>D3+E4</f>
        <v>-432280.701754386</v>
      </c>
      <c r="G4" s="1"/>
      <c r="H4" s="1"/>
    </row>
    <row r="5" ht="18.75" spans="1:8">
      <c r="A5" s="1"/>
      <c r="B5" s="1"/>
      <c r="C5" s="2">
        <v>2</v>
      </c>
      <c r="D5" s="5">
        <f t="shared" ref="D5:D13" si="0">D4+5000</f>
        <v>105000</v>
      </c>
      <c r="E5" s="5">
        <f t="shared" ref="E5:E13" si="1">-PV($D$15,C5,,D5)</f>
        <v>80794.0904893813</v>
      </c>
      <c r="F5" s="5">
        <f t="shared" ref="F5:F13" si="2">F4+E5</f>
        <v>-351486.611265005</v>
      </c>
      <c r="G5" s="1"/>
      <c r="H5" s="1"/>
    </row>
    <row r="6" ht="18.75" spans="1:8">
      <c r="A6" s="1"/>
      <c r="B6" s="1"/>
      <c r="C6" s="2">
        <v>3</v>
      </c>
      <c r="D6" s="5">
        <f t="shared" si="0"/>
        <v>110000</v>
      </c>
      <c r="E6" s="5">
        <f>-PV($D$15,C6,,D6)</f>
        <v>74246.8667822218</v>
      </c>
      <c r="F6" s="5">
        <f t="shared" si="2"/>
        <v>-277239.744482783</v>
      </c>
      <c r="G6" s="1"/>
      <c r="H6" s="1"/>
    </row>
    <row r="7" ht="18.75" spans="1:8">
      <c r="A7" s="1"/>
      <c r="B7" s="1"/>
      <c r="C7" s="2">
        <v>4</v>
      </c>
      <c r="D7" s="5">
        <f t="shared" si="0"/>
        <v>115000</v>
      </c>
      <c r="E7" s="5">
        <f t="shared" si="1"/>
        <v>68089.2318975718</v>
      </c>
      <c r="F7" s="5">
        <f t="shared" si="2"/>
        <v>-209150.512585211</v>
      </c>
      <c r="G7" s="1"/>
      <c r="H7" s="1"/>
    </row>
    <row r="8" ht="18.75" spans="1:8">
      <c r="A8" s="1"/>
      <c r="B8" s="1"/>
      <c r="C8" s="2">
        <v>5</v>
      </c>
      <c r="D8" s="5">
        <f t="shared" si="0"/>
        <v>120000</v>
      </c>
      <c r="E8" s="5">
        <f t="shared" si="1"/>
        <v>62324.2397231778</v>
      </c>
      <c r="F8" s="5">
        <f t="shared" si="2"/>
        <v>-146826.272862033</v>
      </c>
      <c r="G8" s="1"/>
      <c r="H8" s="1"/>
    </row>
    <row r="9" ht="18.75" spans="1:8">
      <c r="A9" s="1"/>
      <c r="B9" s="1"/>
      <c r="C9" s="2">
        <v>6</v>
      </c>
      <c r="D9" s="5">
        <f t="shared" si="0"/>
        <v>125000</v>
      </c>
      <c r="E9" s="5">
        <f t="shared" si="1"/>
        <v>56948.3184605061</v>
      </c>
      <c r="F9" s="5">
        <f t="shared" si="2"/>
        <v>-89877.9544015273</v>
      </c>
      <c r="G9" s="1"/>
      <c r="H9" s="1"/>
    </row>
    <row r="10" ht="18.75" spans="1:8">
      <c r="A10" s="1"/>
      <c r="B10" s="1"/>
      <c r="C10" s="2">
        <v>7</v>
      </c>
      <c r="D10" s="5">
        <f t="shared" si="0"/>
        <v>130000</v>
      </c>
      <c r="E10" s="5">
        <f t="shared" si="1"/>
        <v>51952.8519288827</v>
      </c>
      <c r="F10" s="5">
        <f t="shared" si="2"/>
        <v>-37925.1024726446</v>
      </c>
      <c r="G10" s="1"/>
      <c r="H10" s="1"/>
    </row>
    <row r="11" ht="18.75" spans="1:8">
      <c r="A11" s="1"/>
      <c r="B11" s="1"/>
      <c r="C11" s="2">
        <v>8</v>
      </c>
      <c r="D11" s="5">
        <f t="shared" si="0"/>
        <v>135000</v>
      </c>
      <c r="E11" s="5">
        <f t="shared" si="1"/>
        <v>47325.4724048527</v>
      </c>
      <c r="F11" s="5">
        <f t="shared" si="2"/>
        <v>9400.36993220813</v>
      </c>
      <c r="G11" s="1"/>
      <c r="H11" s="1"/>
    </row>
    <row r="12" ht="18.75" spans="1:8">
      <c r="A12" s="1"/>
      <c r="B12" s="1"/>
      <c r="C12" s="2">
        <v>9</v>
      </c>
      <c r="D12" s="5">
        <f t="shared" si="0"/>
        <v>140000</v>
      </c>
      <c r="E12" s="5">
        <f t="shared" si="1"/>
        <v>43051.1119992162</v>
      </c>
      <c r="F12" s="5">
        <f t="shared" si="2"/>
        <v>52451.4819314243</v>
      </c>
      <c r="G12" s="1"/>
      <c r="H12" s="1"/>
    </row>
    <row r="13" ht="18.75" spans="1:8">
      <c r="A13" s="1"/>
      <c r="B13" s="1"/>
      <c r="C13" s="2">
        <v>10</v>
      </c>
      <c r="D13" s="5">
        <f t="shared" si="0"/>
        <v>145000</v>
      </c>
      <c r="E13" s="5">
        <f t="shared" si="1"/>
        <v>39112.8523802403</v>
      </c>
      <c r="F13" s="5">
        <f t="shared" si="2"/>
        <v>91564.3343116646</v>
      </c>
      <c r="G13" s="1"/>
      <c r="H13" s="1"/>
    </row>
    <row r="14" ht="18.75" spans="1:8">
      <c r="A14" s="1"/>
      <c r="B14" s="1"/>
      <c r="C14" s="1"/>
      <c r="D14" s="1"/>
      <c r="E14" s="1"/>
      <c r="F14" s="6"/>
      <c r="G14" s="1"/>
      <c r="H14" s="1"/>
    </row>
    <row r="15" ht="18.75" spans="1:8">
      <c r="A15" s="1"/>
      <c r="B15" s="1"/>
      <c r="C15" s="7" t="s">
        <v>28</v>
      </c>
      <c r="D15" s="8">
        <v>0.14</v>
      </c>
      <c r="E15" s="7" t="s">
        <v>4</v>
      </c>
      <c r="F15" s="6"/>
      <c r="G15" s="1"/>
      <c r="H15" s="1"/>
    </row>
    <row r="16" ht="18.75" spans="1:8">
      <c r="A16" s="1"/>
      <c r="B16" s="1"/>
      <c r="C16" s="7" t="s">
        <v>29</v>
      </c>
      <c r="D16" s="9">
        <f>NPV(D15,D4:D13)+D3</f>
        <v>91564.3343116647</v>
      </c>
      <c r="E16" s="7"/>
      <c r="F16" s="1"/>
      <c r="G16" s="1"/>
      <c r="H16" s="1"/>
    </row>
    <row r="17" ht="18.75" spans="1:8">
      <c r="A17" s="1"/>
      <c r="B17" s="1"/>
      <c r="C17" s="7" t="s">
        <v>50</v>
      </c>
      <c r="D17" s="10">
        <f>7+(-F10/E11)</f>
        <v>7.80136764717759</v>
      </c>
      <c r="E17" s="7" t="s">
        <v>51</v>
      </c>
      <c r="F17" s="1"/>
      <c r="G17" s="1"/>
      <c r="H17" s="1"/>
    </row>
    <row r="18" ht="15" spans="1:8">
      <c r="A18" s="1"/>
      <c r="B18" s="1"/>
      <c r="C18" s="1"/>
      <c r="D18" s="1"/>
      <c r="E18" s="1"/>
      <c r="F18" s="1"/>
      <c r="G18" s="1"/>
      <c r="H1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Q1_2</vt:lpstr>
      <vt:lpstr>Q3</vt:lpstr>
      <vt:lpstr>Q4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pehen</dc:creator>
  <cp:lastModifiedBy>pehen</cp:lastModifiedBy>
  <dcterms:created xsi:type="dcterms:W3CDTF">2025-07-03T13:13:00Z</dcterms:created>
  <dcterms:modified xsi:type="dcterms:W3CDTF">2025-07-03T14:10:20Z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A76261A476DC4F49B36704557AEAD682_11</vt:lpwstr>
  </property>
  <property fmtid="{D5CDD505-2E9C-101B-9397-08002B2CF9AE}" pid="3" name="KSOProductBuildVer">
    <vt:lpwstr>1046-12.2.0.21546</vt:lpwstr>
  </property>
</Properties>
</file>