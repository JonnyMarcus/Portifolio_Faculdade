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2"/>
  </bookViews>
  <sheets>
    <sheet name="nota questionario" sheetId="1" r:id="rId1"/>
    <sheet name="1" sheetId="2" r:id="rId2"/>
    <sheet name="2" sheetId="3" r:id="rId3"/>
    <sheet name="prova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<sst xmlns="http://schemas.openxmlformats.org/spreadsheetml/2006/main" count="339" uniqueCount="103">
  <si>
    <t>nota</t>
  </si>
  <si>
    <t>perda</t>
  </si>
  <si>
    <t>dif</t>
  </si>
  <si>
    <t>QUESTÕES VP</t>
  </si>
  <si>
    <t>receita/ano</t>
  </si>
  <si>
    <t>taxa</t>
  </si>
  <si>
    <t>anos</t>
  </si>
  <si>
    <t>montante</t>
  </si>
  <si>
    <t>meses</t>
  </si>
  <si>
    <t>investimento</t>
  </si>
  <si>
    <t>vp</t>
  </si>
  <si>
    <t>QUESTÕES TAXA ACUMULADA</t>
  </si>
  <si>
    <t>acumulada</t>
  </si>
  <si>
    <t>QUESTÕES VF</t>
  </si>
  <si>
    <t>aplicacao/mes</t>
  </si>
  <si>
    <t>aplicacao</t>
  </si>
  <si>
    <t>resgate</t>
  </si>
  <si>
    <t>QUESTÕES TAXA</t>
  </si>
  <si>
    <t>presente</t>
  </si>
  <si>
    <t>futuro</t>
  </si>
  <si>
    <t>parcelas</t>
  </si>
  <si>
    <t>QUESTÕES TEMPO JS E JC</t>
  </si>
  <si>
    <t>anos jc</t>
  </si>
  <si>
    <t>anos js</t>
  </si>
  <si>
    <t>QUESTÕES JC</t>
  </si>
  <si>
    <t>juros</t>
  </si>
  <si>
    <t>QUESTÕES TAXAS DIFERENTES POR PERÍODO</t>
  </si>
  <si>
    <t>taxa1</t>
  </si>
  <si>
    <t>taxa2</t>
  </si>
  <si>
    <t>taxa3</t>
  </si>
  <si>
    <t>taxa4</t>
  </si>
  <si>
    <t>QUESTÕES PGTO</t>
  </si>
  <si>
    <t>QUESTÕES JS</t>
  </si>
  <si>
    <t>QUESTÕES PERÍODO</t>
  </si>
  <si>
    <t>tempo</t>
  </si>
  <si>
    <t>QUESTÕES VPL E TIR</t>
  </si>
  <si>
    <t>Projeto A</t>
  </si>
  <si>
    <t>Projeto B</t>
  </si>
  <si>
    <t>Investimentos</t>
  </si>
  <si>
    <t>Custo/ano</t>
  </si>
  <si>
    <t>Vida util</t>
  </si>
  <si>
    <t>TMA</t>
  </si>
  <si>
    <t>Receitas/ano</t>
  </si>
  <si>
    <t>Valor residual</t>
  </si>
  <si>
    <t>VN</t>
  </si>
  <si>
    <t>VPL</t>
  </si>
  <si>
    <t>TIR</t>
  </si>
  <si>
    <t>QUESTÕES PROJETOS COM VIDA ÚTIL DIFERENTE</t>
  </si>
  <si>
    <t>A</t>
  </si>
  <si>
    <t>B</t>
  </si>
  <si>
    <t>Fluxo de caixa</t>
  </si>
  <si>
    <t>custo operacional</t>
  </si>
  <si>
    <t>fluxo de caixa</t>
  </si>
  <si>
    <t>QUESTÕES VPL APENAS COM CUSTO QUE POSSUI TAXA</t>
  </si>
  <si>
    <t>custo</t>
  </si>
  <si>
    <t>taxa do custo</t>
  </si>
  <si>
    <t>tma</t>
  </si>
  <si>
    <t>QUESTÕES VPL E VA</t>
  </si>
  <si>
    <t>data</t>
  </si>
  <si>
    <t>projeto a</t>
  </si>
  <si>
    <t>projeto b</t>
  </si>
  <si>
    <t>Investimento</t>
  </si>
  <si>
    <t>Anos</t>
  </si>
  <si>
    <t>VA</t>
  </si>
  <si>
    <t>QUESTÕES PERPETUIDADE</t>
  </si>
  <si>
    <t>2 anos</t>
  </si>
  <si>
    <t>resto da vida</t>
  </si>
  <si>
    <t xml:space="preserve">juros </t>
  </si>
  <si>
    <t>QUESTÕES LUCRO COM DESCONTO</t>
  </si>
  <si>
    <t>lucro/ano</t>
  </si>
  <si>
    <t>desconto</t>
  </si>
  <si>
    <t>QUESTÕES SEM INVESTIMENTO E DIVIDENDO</t>
  </si>
  <si>
    <t>dividendo</t>
  </si>
  <si>
    <t>Lucros</t>
  </si>
  <si>
    <t>Custo de oportunidade</t>
  </si>
  <si>
    <t>QUESTÕES TIR INCREMENTAL</t>
  </si>
  <si>
    <t>Incremental</t>
  </si>
  <si>
    <t>Resultado</t>
  </si>
  <si>
    <t>QUESTÂO 1</t>
  </si>
  <si>
    <t>a)</t>
  </si>
  <si>
    <t>b)</t>
  </si>
  <si>
    <t>c)</t>
  </si>
  <si>
    <t>d)</t>
  </si>
  <si>
    <t>Período</t>
  </si>
  <si>
    <t>VP</t>
  </si>
  <si>
    <t>Taxa</t>
  </si>
  <si>
    <t>a.a.</t>
  </si>
  <si>
    <t>a.a</t>
  </si>
  <si>
    <t>a.m.</t>
  </si>
  <si>
    <t>Entrada</t>
  </si>
  <si>
    <t>a.m</t>
  </si>
  <si>
    <t>Pagamento</t>
  </si>
  <si>
    <t>mensal</t>
  </si>
  <si>
    <t>Tipo PGTO</t>
  </si>
  <si>
    <t>a partir da data 1</t>
  </si>
  <si>
    <t xml:space="preserve">Pagamento </t>
  </si>
  <si>
    <t>a partir da data 0</t>
  </si>
  <si>
    <t>soma na última parcela</t>
  </si>
  <si>
    <t>Crescimento</t>
  </si>
  <si>
    <t>a partir da data 2</t>
  </si>
  <si>
    <t>QUESTÂO 2</t>
  </si>
  <si>
    <t>/ 3 anos</t>
  </si>
  <si>
    <t>VF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</si>
</sst>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[$R$ -416]#,##0.00"/>
    <numFmt numFmtId="181" formatCode="0.0%"/>
    <numFmt numFmtId="182" formatCode="mmm/d"/>
    <numFmt numFmtId="183" formatCode="0.000%"/>
    <numFmt numFmtId="184" formatCode="0.0000%"/>
    <numFmt numFmtId="185" formatCode="0.0"/>
  </numFmts>
  <fonts count="22">
    <font>
      <sz val="10"/>
      <color rgb="FF000000"/>
      <name val="Arial"/>
      <charset val="134"/>
      <scheme val="minor"/>
    </font>
    <font>
      <b/>
      <sz val="15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7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9" fontId="2" fillId="0" borderId="0" xfId="0" applyNumberFormat="1" applyFont="1" applyAlignment="1"/>
    <xf numFmtId="180" fontId="2" fillId="0" borderId="0" xfId="0" applyNumberFormat="1" applyFont="1" applyAlignment="1"/>
    <xf numFmtId="10" fontId="2" fillId="0" borderId="0" xfId="0" applyNumberFormat="1" applyFont="1" applyAlignment="1"/>
    <xf numFmtId="180" fontId="2" fillId="0" borderId="0" xfId="0" applyNumberFormat="1" applyFont="1"/>
    <xf numFmtId="10" fontId="2" fillId="0" borderId="0" xfId="0" applyNumberFormat="1" applyFont="1"/>
    <xf numFmtId="181" fontId="2" fillId="0" borderId="0" xfId="0" applyNumberFormat="1" applyFont="1" applyAlignment="1"/>
    <xf numFmtId="0" fontId="2" fillId="0" borderId="0" xfId="0" applyFont="1"/>
    <xf numFmtId="2" fontId="2" fillId="0" borderId="0" xfId="0" applyNumberFormat="1" applyFont="1"/>
    <xf numFmtId="182" fontId="2" fillId="0" borderId="0" xfId="0" applyNumberFormat="1" applyFont="1" applyAlignment="1"/>
    <xf numFmtId="183" fontId="2" fillId="0" borderId="0" xfId="0" applyNumberFormat="1" applyFont="1"/>
    <xf numFmtId="184" fontId="2" fillId="0" borderId="0" xfId="0" applyNumberFormat="1" applyFont="1" applyAlignment="1"/>
    <xf numFmtId="1" fontId="2" fillId="0" borderId="0" xfId="0" applyNumberFormat="1" applyFont="1"/>
    <xf numFmtId="185" fontId="2" fillId="0" borderId="0" xfId="0" applyNumberFormat="1" applyFont="1"/>
    <xf numFmtId="185" fontId="2" fillId="0" borderId="0" xfId="0" applyNumberFormat="1" applyFont="1" applyAlignme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7"/>
  <sheetViews>
    <sheetView workbookViewId="0">
      <selection activeCell="A1" sqref="A1"/>
    </sheetView>
  </sheetViews>
  <sheetFormatPr defaultColWidth="12.6285714285714" defaultRowHeight="15.75" customHeight="1" outlineLevelRow="6" outlineLevelCol="4"/>
  <sheetData>
    <row r="1" customHeight="1" spans="1:5">
      <c r="A1" s="3">
        <f>(88%+88%+100%)/3</f>
        <v>0.92</v>
      </c>
      <c r="B1" s="2">
        <v>1.2</v>
      </c>
      <c r="D1" s="3">
        <f>(88%+100%+100%)/3</f>
        <v>0.96</v>
      </c>
      <c r="E1" s="2">
        <v>1.2</v>
      </c>
    </row>
    <row r="2" customHeight="1" spans="1:5">
      <c r="A2" s="3">
        <v>0.83</v>
      </c>
      <c r="B2" s="2">
        <v>1.2</v>
      </c>
      <c r="D2" s="3">
        <f>(83%+83%+100%)/3</f>
        <v>0.886666666666667</v>
      </c>
      <c r="E2" s="2">
        <v>1.2</v>
      </c>
    </row>
    <row r="3" customHeight="1" spans="1:5">
      <c r="A3" s="3">
        <f>(67%+100%+100%)/3</f>
        <v>0.89</v>
      </c>
      <c r="B3" s="2">
        <v>0.6</v>
      </c>
      <c r="D3" s="3">
        <v>1</v>
      </c>
      <c r="E3" s="2">
        <v>0.6</v>
      </c>
    </row>
    <row r="4" customHeight="1" spans="1:5">
      <c r="A4" s="2" t="s">
        <v>0</v>
      </c>
      <c r="B4" s="15">
        <f>A1*B1+A2*B2+A3*B3</f>
        <v>2.634</v>
      </c>
      <c r="D4" s="2" t="s">
        <v>0</v>
      </c>
      <c r="E4" s="15">
        <f>D1*E1+D2*E2+D3*E3</f>
        <v>2.816</v>
      </c>
    </row>
    <row r="5" customHeight="1" spans="1:5">
      <c r="A5" s="2" t="s">
        <v>1</v>
      </c>
      <c r="B5" s="16">
        <f>3-B4</f>
        <v>0.366000000000001</v>
      </c>
      <c r="D5" s="2" t="s">
        <v>1</v>
      </c>
      <c r="E5" s="16">
        <f>3-E4</f>
        <v>0.184</v>
      </c>
    </row>
    <row r="7" customHeight="1" spans="1:2">
      <c r="A7" s="2" t="s">
        <v>2</v>
      </c>
      <c r="B7" s="15">
        <f>E4-B4</f>
        <v>0.182000000000001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63"/>
  <sheetViews>
    <sheetView topLeftCell="A40" workbookViewId="0">
      <selection activeCell="A1" sqref="A1"/>
    </sheetView>
  </sheetViews>
  <sheetFormatPr defaultColWidth="12.6285714285714" defaultRowHeight="15.75" customHeight="1"/>
  <cols>
    <col min="2" max="2" width="13.3809523809524" customWidth="1"/>
  </cols>
  <sheetData>
    <row r="1" customHeight="1" spans="1:5">
      <c r="A1" s="1" t="s">
        <v>3</v>
      </c>
      <c r="B1" s="4"/>
      <c r="D1" s="2"/>
      <c r="E1" s="3"/>
    </row>
    <row r="2" customHeight="1" spans="1:8">
      <c r="A2" s="2" t="s">
        <v>4</v>
      </c>
      <c r="B2" s="4">
        <v>145000</v>
      </c>
      <c r="D2" s="2" t="s">
        <v>5</v>
      </c>
      <c r="E2" s="3">
        <v>0.09</v>
      </c>
      <c r="G2" s="2" t="s">
        <v>5</v>
      </c>
      <c r="H2" s="5">
        <v>0.015</v>
      </c>
    </row>
    <row r="3" customHeight="1" spans="1:8">
      <c r="A3" s="2" t="s">
        <v>6</v>
      </c>
      <c r="B3" s="2">
        <v>25</v>
      </c>
      <c r="D3" s="2" t="s">
        <v>7</v>
      </c>
      <c r="E3" s="4">
        <v>375000</v>
      </c>
      <c r="G3" s="2" t="s">
        <v>7</v>
      </c>
      <c r="H3" s="4">
        <v>100000</v>
      </c>
    </row>
    <row r="4" customHeight="1" spans="1:8">
      <c r="A4" s="2" t="s">
        <v>5</v>
      </c>
      <c r="B4" s="5">
        <v>0.095</v>
      </c>
      <c r="D4" s="2" t="s">
        <v>6</v>
      </c>
      <c r="E4" s="2">
        <v>5</v>
      </c>
      <c r="G4" s="2" t="s">
        <v>8</v>
      </c>
      <c r="H4" s="2">
        <v>12</v>
      </c>
    </row>
    <row r="5" customHeight="1" spans="1:8">
      <c r="A5" s="2" t="s">
        <v>9</v>
      </c>
      <c r="B5" s="6">
        <f>PV(B4,B3,-B2)</f>
        <v>1368448.7671032</v>
      </c>
      <c r="D5" s="2" t="s">
        <v>9</v>
      </c>
      <c r="E5" s="6">
        <f>PV(E2,E4,,-E3)</f>
        <v>243724.269861879</v>
      </c>
      <c r="G5" s="2" t="s">
        <v>10</v>
      </c>
      <c r="H5" s="6">
        <f>PV(H2,H4,,-H3)</f>
        <v>83638.7421895396</v>
      </c>
    </row>
    <row r="7" customHeight="1" spans="1:1">
      <c r="A7" s="1" t="s">
        <v>11</v>
      </c>
    </row>
    <row r="8" customHeight="1" spans="1:11">
      <c r="A8" s="11">
        <v>45703</v>
      </c>
      <c r="B8" s="5">
        <v>0.0122</v>
      </c>
      <c r="D8" s="11">
        <v>45853</v>
      </c>
      <c r="E8" s="5">
        <v>0.0062</v>
      </c>
      <c r="G8" s="11">
        <v>45672</v>
      </c>
      <c r="H8" s="5">
        <v>0.0124</v>
      </c>
      <c r="J8" s="11">
        <v>45884</v>
      </c>
      <c r="K8" s="5">
        <v>0.0022</v>
      </c>
    </row>
    <row r="9" customHeight="1" spans="1:11">
      <c r="A9" s="11">
        <v>45731</v>
      </c>
      <c r="B9" s="5">
        <v>0.0132</v>
      </c>
      <c r="D9" s="11">
        <v>45884</v>
      </c>
      <c r="E9" s="5">
        <v>0.0022</v>
      </c>
      <c r="G9" s="11">
        <v>45703</v>
      </c>
      <c r="H9" s="5">
        <v>0.0122</v>
      </c>
      <c r="J9" s="11">
        <v>45915</v>
      </c>
      <c r="K9" s="5">
        <v>0.0054</v>
      </c>
    </row>
    <row r="10" customHeight="1" spans="1:11">
      <c r="A10" s="11">
        <v>45762</v>
      </c>
      <c r="B10" s="5">
        <v>0.0071</v>
      </c>
      <c r="D10" s="11">
        <v>45915</v>
      </c>
      <c r="E10" s="5">
        <v>0.0054</v>
      </c>
      <c r="G10" s="11">
        <v>45731</v>
      </c>
      <c r="H10" s="5">
        <v>0.0132</v>
      </c>
      <c r="J10" s="11">
        <v>45945</v>
      </c>
      <c r="K10" s="5">
        <v>0.0082</v>
      </c>
    </row>
    <row r="11" customHeight="1" spans="1:11">
      <c r="A11" s="11">
        <v>45792</v>
      </c>
      <c r="B11" s="5">
        <v>0.0074</v>
      </c>
      <c r="D11" s="11">
        <v>45945</v>
      </c>
      <c r="E11" s="5">
        <v>0.0082</v>
      </c>
      <c r="G11" s="11">
        <v>45762</v>
      </c>
      <c r="H11" s="5">
        <v>0.0071</v>
      </c>
      <c r="J11" s="11">
        <v>45976</v>
      </c>
      <c r="K11" s="5">
        <v>0.0101</v>
      </c>
    </row>
    <row r="12" customHeight="1" spans="1:11">
      <c r="A12" s="2" t="s">
        <v>12</v>
      </c>
      <c r="B12" s="12">
        <f>(1+B8)*(1+B9)*(1+B10)*(1+B11)-1</f>
        <v>0.0404855580570418</v>
      </c>
      <c r="D12" s="2" t="s">
        <v>12</v>
      </c>
      <c r="E12" s="12">
        <f>(1+E8)*(1+E9)*(1+E10)*(1+E11)-1</f>
        <v>0.0221727180599791</v>
      </c>
      <c r="G12" s="2" t="s">
        <v>12</v>
      </c>
      <c r="H12" s="12">
        <f>(1+H8)*(1+H9)*(1+H10)*(1+H11)-1</f>
        <v>0.0456497706739618</v>
      </c>
      <c r="J12" s="2" t="s">
        <v>12</v>
      </c>
      <c r="K12" s="12">
        <f>(1+K8)*(1+K9)*(1+K10)*(1+K11)-1</f>
        <v>0.0261346278199015</v>
      </c>
    </row>
    <row r="14" customHeight="1" spans="1:1">
      <c r="A14" s="1" t="s">
        <v>13</v>
      </c>
    </row>
    <row r="15" customHeight="1" spans="1:5">
      <c r="A15" s="2" t="s">
        <v>14</v>
      </c>
      <c r="B15" s="4">
        <v>1800</v>
      </c>
      <c r="D15" s="2" t="s">
        <v>15</v>
      </c>
      <c r="E15" s="4">
        <v>3500</v>
      </c>
    </row>
    <row r="16" customHeight="1" spans="1:5">
      <c r="A16" s="2" t="s">
        <v>8</v>
      </c>
      <c r="B16" s="2">
        <v>240</v>
      </c>
      <c r="D16" s="2" t="s">
        <v>8</v>
      </c>
      <c r="E16" s="2">
        <v>12</v>
      </c>
    </row>
    <row r="17" customHeight="1" spans="1:5">
      <c r="A17" s="2" t="s">
        <v>5</v>
      </c>
      <c r="B17" s="5">
        <v>0.0085</v>
      </c>
      <c r="D17" s="2" t="s">
        <v>5</v>
      </c>
      <c r="E17" s="5">
        <v>0.012</v>
      </c>
    </row>
    <row r="18" customHeight="1" spans="1:5">
      <c r="A18" s="2" t="s">
        <v>16</v>
      </c>
      <c r="B18" s="6">
        <f>FV(B17,B16,-B15)</f>
        <v>1402854.78623243</v>
      </c>
      <c r="D18" s="2" t="s">
        <v>16</v>
      </c>
      <c r="E18" s="6">
        <f>FV(E17,E16,-E15)</f>
        <v>44885.9320532543</v>
      </c>
    </row>
    <row r="20" customHeight="1" spans="1:1">
      <c r="A20" s="1" t="s">
        <v>17</v>
      </c>
    </row>
    <row r="21" customHeight="1" spans="1:8">
      <c r="A21" s="2" t="s">
        <v>18</v>
      </c>
      <c r="B21" s="4">
        <v>50000</v>
      </c>
      <c r="D21" s="2" t="s">
        <v>18</v>
      </c>
      <c r="E21" s="4">
        <v>18500</v>
      </c>
      <c r="G21" s="2" t="s">
        <v>18</v>
      </c>
      <c r="H21" s="4">
        <f>375000-H23</f>
        <v>337500</v>
      </c>
    </row>
    <row r="22" customHeight="1" spans="1:8">
      <c r="A22" s="2" t="s">
        <v>8</v>
      </c>
      <c r="B22" s="2">
        <v>10</v>
      </c>
      <c r="D22" s="2" t="s">
        <v>8</v>
      </c>
      <c r="E22" s="2">
        <v>36</v>
      </c>
      <c r="G22" s="2" t="s">
        <v>8</v>
      </c>
      <c r="H22" s="2">
        <v>11</v>
      </c>
    </row>
    <row r="23" customHeight="1" spans="1:8">
      <c r="A23" s="2" t="s">
        <v>19</v>
      </c>
      <c r="B23" s="4">
        <v>75000</v>
      </c>
      <c r="D23" s="2" t="s">
        <v>19</v>
      </c>
      <c r="E23" s="4">
        <v>23300</v>
      </c>
      <c r="G23" s="2" t="s">
        <v>20</v>
      </c>
      <c r="H23" s="4">
        <v>37500</v>
      </c>
    </row>
    <row r="24" customHeight="1" spans="1:8">
      <c r="A24" s="2" t="s">
        <v>5</v>
      </c>
      <c r="B24" s="7">
        <f>RATE(B22,,B21,-B23)</f>
        <v>0.0413797439924106</v>
      </c>
      <c r="D24" s="2" t="s">
        <v>5</v>
      </c>
      <c r="E24" s="7">
        <f>RATE(E22,,-E21,E23)</f>
        <v>0.00642842498918484</v>
      </c>
      <c r="G24" s="2" t="s">
        <v>5</v>
      </c>
      <c r="H24" s="12">
        <f>RATE(H22,H23,-H21)</f>
        <v>0.0350315303622767</v>
      </c>
    </row>
    <row r="26" customHeight="1" spans="1:1">
      <c r="A26" s="1" t="s">
        <v>21</v>
      </c>
    </row>
    <row r="27" customHeight="1" spans="1:5">
      <c r="A27" s="2" t="s">
        <v>19</v>
      </c>
      <c r="B27" s="4">
        <v>600000</v>
      </c>
      <c r="D27" s="2" t="s">
        <v>19</v>
      </c>
      <c r="E27" s="4">
        <v>1200000</v>
      </c>
    </row>
    <row r="28" customHeight="1" spans="1:5">
      <c r="A28" s="2" t="s">
        <v>18</v>
      </c>
      <c r="B28" s="4">
        <v>95000</v>
      </c>
      <c r="D28" s="2" t="s">
        <v>18</v>
      </c>
      <c r="E28" s="4">
        <v>150000</v>
      </c>
    </row>
    <row r="29" customHeight="1" spans="1:5">
      <c r="A29" s="2" t="s">
        <v>5</v>
      </c>
      <c r="B29" s="3">
        <v>0.12</v>
      </c>
      <c r="D29" s="2" t="s">
        <v>5</v>
      </c>
      <c r="E29" s="3">
        <v>0.13</v>
      </c>
    </row>
    <row r="30" customHeight="1" spans="1:5">
      <c r="A30" s="2" t="s">
        <v>22</v>
      </c>
      <c r="B30" s="10">
        <f>-LOG(B28/B27,1+B29)</f>
        <v>16.2628972410899</v>
      </c>
      <c r="D30" s="2" t="s">
        <v>22</v>
      </c>
      <c r="E30" s="10">
        <f>-LOG(E28/E27,1+E29)</f>
        <v>17.0142515063398</v>
      </c>
    </row>
    <row r="31" customHeight="1" spans="1:5">
      <c r="A31" s="2" t="s">
        <v>23</v>
      </c>
      <c r="B31" s="10">
        <f>(B27-B28)/(B28*B29)</f>
        <v>44.2982456140351</v>
      </c>
      <c r="D31" s="2" t="s">
        <v>23</v>
      </c>
      <c r="E31" s="10">
        <f>(E27-E28)/(E28*E29)</f>
        <v>53.8461538461538</v>
      </c>
    </row>
    <row r="33" customHeight="1" spans="1:1">
      <c r="A33" s="1" t="s">
        <v>24</v>
      </c>
    </row>
    <row r="34" customHeight="1" spans="1:5">
      <c r="A34" s="2" t="s">
        <v>18</v>
      </c>
      <c r="B34" s="4">
        <v>500000</v>
      </c>
      <c r="D34" s="2" t="s">
        <v>10</v>
      </c>
      <c r="E34" s="4">
        <v>25000</v>
      </c>
    </row>
    <row r="35" customHeight="1" spans="1:5">
      <c r="A35" s="2" t="s">
        <v>8</v>
      </c>
      <c r="B35" s="2">
        <v>60</v>
      </c>
      <c r="D35" s="2" t="s">
        <v>8</v>
      </c>
      <c r="E35" s="2">
        <v>36</v>
      </c>
    </row>
    <row r="36" customHeight="1" spans="1:5">
      <c r="A36" s="2" t="s">
        <v>5</v>
      </c>
      <c r="B36" s="5">
        <v>0.008</v>
      </c>
      <c r="D36" s="2" t="s">
        <v>5</v>
      </c>
      <c r="E36" s="5">
        <v>0.009</v>
      </c>
    </row>
    <row r="37" customHeight="1" spans="1:5">
      <c r="A37" s="2" t="s">
        <v>25</v>
      </c>
      <c r="B37" s="6">
        <f>(B34*(1+B36)^B35)-B34</f>
        <v>306495.467327519</v>
      </c>
      <c r="D37" s="2" t="s">
        <v>25</v>
      </c>
      <c r="E37" s="6">
        <f>(E34*(1+E36)^E35)-E34</f>
        <v>9516.12182772032</v>
      </c>
    </row>
    <row r="39" customHeight="1" spans="1:1">
      <c r="A39" s="1" t="s">
        <v>26</v>
      </c>
    </row>
    <row r="40" customHeight="1" spans="1:11">
      <c r="A40" s="2" t="s">
        <v>18</v>
      </c>
      <c r="B40" s="4">
        <v>100000</v>
      </c>
      <c r="D40" s="2" t="s">
        <v>18</v>
      </c>
      <c r="E40" s="4">
        <v>100000</v>
      </c>
      <c r="G40" s="2" t="s">
        <v>18</v>
      </c>
      <c r="H40" s="4">
        <v>100000</v>
      </c>
      <c r="J40" s="2" t="s">
        <v>18</v>
      </c>
      <c r="K40" s="4">
        <v>100000</v>
      </c>
    </row>
    <row r="41" customHeight="1" spans="1:11">
      <c r="A41" s="2" t="s">
        <v>27</v>
      </c>
      <c r="B41" s="13">
        <v>0.006876</v>
      </c>
      <c r="D41" s="2" t="s">
        <v>27</v>
      </c>
      <c r="E41" s="13">
        <v>0.005169</v>
      </c>
      <c r="G41" s="2" t="s">
        <v>27</v>
      </c>
      <c r="H41" s="13">
        <v>0.006079</v>
      </c>
      <c r="J41" s="2" t="s">
        <v>27</v>
      </c>
      <c r="K41" s="13">
        <v>0.006159</v>
      </c>
    </row>
    <row r="42" customHeight="1" spans="1:11">
      <c r="A42" s="2" t="s">
        <v>28</v>
      </c>
      <c r="B42" s="13">
        <v>0.00693</v>
      </c>
      <c r="D42" s="2" t="s">
        <v>28</v>
      </c>
      <c r="E42" s="13">
        <v>0.006302</v>
      </c>
      <c r="G42" s="2" t="s">
        <v>28</v>
      </c>
      <c r="H42" s="13">
        <v>0.006159</v>
      </c>
      <c r="J42" s="2" t="s">
        <v>28</v>
      </c>
      <c r="K42" s="13">
        <v>0.006822</v>
      </c>
    </row>
    <row r="43" customHeight="1" spans="1:11">
      <c r="A43" s="2" t="s">
        <v>29</v>
      </c>
      <c r="B43" s="13">
        <v>0.006799</v>
      </c>
      <c r="D43" s="2" t="s">
        <v>29</v>
      </c>
      <c r="E43" s="13">
        <v>0.006079</v>
      </c>
      <c r="G43" s="2" t="s">
        <v>29</v>
      </c>
      <c r="H43" s="13">
        <v>0.006822</v>
      </c>
      <c r="J43" s="2" t="s">
        <v>29</v>
      </c>
      <c r="K43" s="13">
        <v>0.007317</v>
      </c>
    </row>
    <row r="44" customHeight="1" spans="1:11">
      <c r="A44" s="2" t="s">
        <v>30</v>
      </c>
      <c r="B44" s="13">
        <v>0.006303</v>
      </c>
      <c r="D44" s="2" t="s">
        <v>30</v>
      </c>
      <c r="E44" s="13">
        <v>0.006159</v>
      </c>
      <c r="G44" s="2" t="s">
        <v>30</v>
      </c>
      <c r="H44" s="13">
        <v>0.007317</v>
      </c>
      <c r="J44" s="2" t="s">
        <v>30</v>
      </c>
      <c r="K44" s="13">
        <v>0.006876</v>
      </c>
    </row>
    <row r="45" customHeight="1" spans="1:11">
      <c r="A45" s="2" t="s">
        <v>25</v>
      </c>
      <c r="B45" s="6">
        <f>((((B40*(1+B41))*(1+B42))*(1+B43))*(1+B44))-B40</f>
        <v>2718.06089938995</v>
      </c>
      <c r="D45" s="2" t="s">
        <v>25</v>
      </c>
      <c r="E45" s="6">
        <f>((((E40*(1+E41))*(1+E42))*(1+E43))*(1+E44))-E40</f>
        <v>2392.0227050618</v>
      </c>
      <c r="G45" s="2" t="s">
        <v>25</v>
      </c>
      <c r="H45" s="6">
        <f>((((H40*(1+H41))*(1+H42))*(1+H43))*(1+H44))-H40</f>
        <v>2663.85323370292</v>
      </c>
      <c r="J45" s="2" t="s">
        <v>25</v>
      </c>
      <c r="K45" s="6">
        <f>((((K40*(1+K41))*(1+K42))*(1+K43))*(1+K44))-K40</f>
        <v>2745.1819276</v>
      </c>
    </row>
    <row r="47" customHeight="1" spans="1:1">
      <c r="A47" s="1" t="s">
        <v>31</v>
      </c>
    </row>
    <row r="48" customHeight="1" spans="1:2">
      <c r="A48" s="2" t="s">
        <v>18</v>
      </c>
      <c r="B48" s="4">
        <v>450000</v>
      </c>
    </row>
    <row r="49" customHeight="1" spans="1:2">
      <c r="A49" s="2" t="s">
        <v>6</v>
      </c>
      <c r="B49" s="2">
        <v>24</v>
      </c>
    </row>
    <row r="50" customHeight="1" spans="1:2">
      <c r="A50" s="2" t="s">
        <v>5</v>
      </c>
      <c r="B50" s="5">
        <v>0.09</v>
      </c>
    </row>
    <row r="51" customHeight="1" spans="1:2">
      <c r="A51" s="2" t="s">
        <v>19</v>
      </c>
      <c r="B51" s="6">
        <f>PMT(B50,B49,-B48)</f>
        <v>46360.1523055559</v>
      </c>
    </row>
    <row r="53" customHeight="1" spans="1:1">
      <c r="A53" s="1" t="s">
        <v>32</v>
      </c>
    </row>
    <row r="54" customHeight="1" spans="1:2">
      <c r="A54" s="2" t="s">
        <v>18</v>
      </c>
      <c r="B54" s="4">
        <v>80000</v>
      </c>
    </row>
    <row r="55" customHeight="1" spans="1:2">
      <c r="A55" s="2" t="s">
        <v>5</v>
      </c>
      <c r="B55" s="5">
        <v>0.012</v>
      </c>
    </row>
    <row r="56" customHeight="1" spans="1:2">
      <c r="A56" s="2" t="s">
        <v>8</v>
      </c>
      <c r="B56" s="2">
        <v>48</v>
      </c>
    </row>
    <row r="57" customHeight="1" spans="1:2">
      <c r="A57" s="2" t="s">
        <v>19</v>
      </c>
      <c r="B57" s="6">
        <f>(B54*B55*B56)</f>
        <v>46080</v>
      </c>
    </row>
    <row r="59" customHeight="1" spans="1:1">
      <c r="A59" s="1" t="s">
        <v>33</v>
      </c>
    </row>
    <row r="60" customHeight="1" spans="1:2">
      <c r="A60" s="2" t="s">
        <v>18</v>
      </c>
      <c r="B60" s="4">
        <v>92800</v>
      </c>
    </row>
    <row r="61" customHeight="1" spans="1:2">
      <c r="A61" s="2" t="s">
        <v>5</v>
      </c>
      <c r="B61" s="5">
        <v>0.0099</v>
      </c>
    </row>
    <row r="62" customHeight="1" spans="1:2">
      <c r="A62" s="2" t="s">
        <v>7</v>
      </c>
      <c r="B62" s="4">
        <v>106523.5</v>
      </c>
    </row>
    <row r="63" customHeight="1" spans="1:2">
      <c r="A63" s="2" t="s">
        <v>34</v>
      </c>
      <c r="B63" s="14">
        <f>NPER(B61,,B60,-B62)</f>
        <v>14.0000561943036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AM183"/>
  <sheetViews>
    <sheetView tabSelected="1" topLeftCell="A16" workbookViewId="0">
      <selection activeCell="F16" sqref="F$1:F$1048576"/>
    </sheetView>
  </sheetViews>
  <sheetFormatPr defaultColWidth="12.6285714285714" defaultRowHeight="15.75" customHeight="1"/>
  <cols>
    <col min="1" max="1" width="14.247619047619" customWidth="1"/>
    <col min="2" max="2" width="15.7142857142857" customWidth="1"/>
    <col min="3" max="3" width="14.7142857142857" customWidth="1"/>
    <col min="4" max="4" width="13.3809523809524" customWidth="1"/>
    <col min="5" max="5" width="16.4285714285714" customWidth="1"/>
    <col min="6" max="6" width="14.7142857142857" customWidth="1"/>
    <col min="7" max="7" width="13.5714285714286" customWidth="1"/>
    <col min="8" max="9" width="12.5047619047619" customWidth="1"/>
    <col min="10" max="10" width="21.4285714285714" customWidth="1"/>
    <col min="11" max="11" width="14" customWidth="1"/>
    <col min="12" max="12" width="15.7142857142857" customWidth="1"/>
    <col min="13" max="13" width="12.5047619047619" customWidth="1"/>
    <col min="14" max="14" width="15.7142857142857" customWidth="1"/>
    <col min="15" max="15" width="16.4285714285714" customWidth="1"/>
    <col min="16" max="16" width="13.5714285714286" customWidth="1"/>
    <col min="17" max="17" width="14" customWidth="1"/>
    <col min="18" max="18" width="11.8761904761905" customWidth="1"/>
    <col min="19" max="19" width="13.3809523809524" customWidth="1"/>
    <col min="20" max="21" width="12.5047619047619" customWidth="1"/>
    <col min="22" max="22" width="13.3809523809524" customWidth="1"/>
    <col min="23" max="23" width="12.5047619047619" customWidth="1"/>
    <col min="24" max="24" width="13.3809523809524" customWidth="1"/>
    <col min="25" max="25" width="11.5047619047619" customWidth="1"/>
    <col min="26" max="27" width="11.8761904761905" customWidth="1"/>
    <col min="28" max="28" width="13.3809523809524" customWidth="1"/>
    <col min="29" max="29" width="12.5047619047619" customWidth="1"/>
    <col min="30" max="30" width="13.3809523809524" customWidth="1"/>
    <col min="31" max="31" width="12.5047619047619" customWidth="1"/>
    <col min="33" max="33" width="11.247619047619" customWidth="1"/>
    <col min="34" max="35" width="11.8761904761905" customWidth="1"/>
    <col min="36" max="36" width="4.13333333333333" customWidth="1"/>
    <col min="37" max="39" width="12.5047619047619" customWidth="1"/>
  </cols>
  <sheetData>
    <row r="1" customHeight="1" spans="1:39">
      <c r="A1" s="1" t="s">
        <v>35</v>
      </c>
      <c r="B1" s="2"/>
      <c r="C1" s="2"/>
      <c r="E1" s="4"/>
      <c r="F1" s="4"/>
      <c r="J1" s="2"/>
      <c r="K1" s="2"/>
      <c r="M1" s="4"/>
      <c r="N1" s="4"/>
      <c r="R1" s="2"/>
      <c r="S1" s="2"/>
      <c r="U1" s="4"/>
      <c r="V1" s="4"/>
      <c r="W1" s="4"/>
      <c r="Z1" s="2"/>
      <c r="AA1" s="2"/>
      <c r="AC1" s="4"/>
      <c r="AD1" s="4"/>
      <c r="AE1" s="4"/>
      <c r="AF1" s="4"/>
      <c r="AH1" s="2"/>
      <c r="AI1" s="2"/>
      <c r="AK1" s="4"/>
      <c r="AL1" s="4"/>
      <c r="AM1" s="4"/>
    </row>
    <row r="2" customHeight="1" spans="2:39">
      <c r="B2" s="2" t="s">
        <v>36</v>
      </c>
      <c r="C2" s="2" t="s">
        <v>37</v>
      </c>
      <c r="E2" s="4">
        <f t="shared" ref="E2:F2" si="0">-B3</f>
        <v>-135500</v>
      </c>
      <c r="F2" s="4">
        <f t="shared" si="0"/>
        <v>-225800</v>
      </c>
      <c r="G2" s="6">
        <f t="shared" ref="G2:G17" si="1">E2-F2</f>
        <v>90300</v>
      </c>
      <c r="J2" s="2" t="s">
        <v>36</v>
      </c>
      <c r="K2" s="2" t="s">
        <v>37</v>
      </c>
      <c r="M2" s="4">
        <v>-278000</v>
      </c>
      <c r="N2" s="4">
        <v>-340000</v>
      </c>
      <c r="O2" s="6">
        <f t="shared" ref="O2:O17" si="2">M2-N2</f>
        <v>62000</v>
      </c>
      <c r="R2" s="2" t="s">
        <v>36</v>
      </c>
      <c r="S2" s="2" t="s">
        <v>37</v>
      </c>
      <c r="U2" s="4">
        <v>-550000</v>
      </c>
      <c r="V2" s="4">
        <v>-675000</v>
      </c>
      <c r="W2" s="4">
        <f t="shared" ref="W2:W17" si="3">U2-V2</f>
        <v>125000</v>
      </c>
      <c r="Z2" s="2" t="s">
        <v>36</v>
      </c>
      <c r="AA2" s="2" t="s">
        <v>37</v>
      </c>
      <c r="AC2" s="4">
        <v>-550000</v>
      </c>
      <c r="AD2" s="4">
        <v>-675000</v>
      </c>
      <c r="AE2" s="4">
        <f t="shared" ref="AE2:AE17" si="4">AC2-AD2</f>
        <v>125000</v>
      </c>
      <c r="AF2" s="4"/>
      <c r="AH2" s="2" t="s">
        <v>36</v>
      </c>
      <c r="AI2" s="2" t="s">
        <v>37</v>
      </c>
      <c r="AK2" s="4">
        <f t="shared" ref="AK2:AL2" si="5">-AH3</f>
        <v>-205000</v>
      </c>
      <c r="AL2" s="4">
        <f t="shared" si="5"/>
        <v>-380000</v>
      </c>
      <c r="AM2" s="4">
        <f t="shared" ref="AM2:AM17" si="6">AK2-AL2</f>
        <v>175000</v>
      </c>
    </row>
    <row r="3" customHeight="1" spans="1:39">
      <c r="A3" s="2" t="s">
        <v>38</v>
      </c>
      <c r="B3" s="4">
        <v>135500</v>
      </c>
      <c r="C3" s="4">
        <v>225800</v>
      </c>
      <c r="E3" s="6">
        <f t="shared" ref="E3:E16" si="7">$B$7-$B$4</f>
        <v>26000</v>
      </c>
      <c r="F3" s="6">
        <f t="shared" ref="F3:F16" si="8">$C$7-$C$4</f>
        <v>34200</v>
      </c>
      <c r="G3" s="6">
        <f t="shared" si="1"/>
        <v>-8200</v>
      </c>
      <c r="I3" s="2" t="s">
        <v>38</v>
      </c>
      <c r="J3" s="4">
        <v>278000</v>
      </c>
      <c r="K3" s="4">
        <v>340000</v>
      </c>
      <c r="M3" s="6">
        <f t="shared" ref="M3:N3" si="9">J7-J4</f>
        <v>93500</v>
      </c>
      <c r="N3" s="6">
        <f t="shared" si="9"/>
        <v>122800</v>
      </c>
      <c r="O3" s="6">
        <f t="shared" si="2"/>
        <v>-29300</v>
      </c>
      <c r="Q3" s="2" t="s">
        <v>38</v>
      </c>
      <c r="R3" s="4">
        <v>550000</v>
      </c>
      <c r="S3" s="4">
        <v>675000</v>
      </c>
      <c r="U3" s="6">
        <f t="shared" ref="U3:V3" si="10">R7-R4</f>
        <v>135000</v>
      </c>
      <c r="V3" s="6">
        <f t="shared" si="10"/>
        <v>155000</v>
      </c>
      <c r="W3" s="4">
        <f t="shared" si="3"/>
        <v>-20000</v>
      </c>
      <c r="Y3" s="2" t="s">
        <v>38</v>
      </c>
      <c r="Z3" s="4">
        <v>278000</v>
      </c>
      <c r="AA3" s="4">
        <v>340000</v>
      </c>
      <c r="AC3" s="6">
        <f t="shared" ref="AC3:AD3" si="11">Z7-Z4</f>
        <v>93500</v>
      </c>
      <c r="AD3" s="6">
        <f t="shared" si="11"/>
        <v>122800</v>
      </c>
      <c r="AE3" s="4">
        <f t="shared" si="4"/>
        <v>-29300</v>
      </c>
      <c r="AF3" s="4"/>
      <c r="AG3" s="2" t="s">
        <v>38</v>
      </c>
      <c r="AH3" s="4">
        <v>205000</v>
      </c>
      <c r="AI3" s="4">
        <v>380000</v>
      </c>
      <c r="AK3" s="6">
        <f t="shared" ref="AK3:AK16" si="12">$AH$7-$AH$4</f>
        <v>82000</v>
      </c>
      <c r="AL3" s="6">
        <f t="shared" ref="AL3:AL16" si="13">$AI$7-$AI$4</f>
        <v>130000</v>
      </c>
      <c r="AM3" s="4">
        <f t="shared" si="6"/>
        <v>-48000</v>
      </c>
    </row>
    <row r="4" customHeight="1" spans="1:39">
      <c r="A4" s="2" t="s">
        <v>39</v>
      </c>
      <c r="B4" s="4">
        <v>32700</v>
      </c>
      <c r="C4" s="4">
        <v>64200</v>
      </c>
      <c r="E4" s="6">
        <f t="shared" si="7"/>
        <v>26000</v>
      </c>
      <c r="F4" s="6">
        <f t="shared" si="8"/>
        <v>34200</v>
      </c>
      <c r="G4" s="6">
        <f t="shared" si="1"/>
        <v>-8200</v>
      </c>
      <c r="I4" s="2" t="s">
        <v>39</v>
      </c>
      <c r="J4" s="4">
        <v>64500</v>
      </c>
      <c r="K4" s="4">
        <v>99200</v>
      </c>
      <c r="M4" s="4">
        <v>93500</v>
      </c>
      <c r="N4" s="4">
        <v>122800</v>
      </c>
      <c r="O4" s="6">
        <f t="shared" si="2"/>
        <v>-29300</v>
      </c>
      <c r="Q4" s="2" t="s">
        <v>39</v>
      </c>
      <c r="R4" s="4">
        <v>95000</v>
      </c>
      <c r="S4" s="4">
        <v>165000</v>
      </c>
      <c r="U4" s="4">
        <v>135000</v>
      </c>
      <c r="V4" s="4">
        <v>155000</v>
      </c>
      <c r="W4" s="4">
        <f t="shared" si="3"/>
        <v>-20000</v>
      </c>
      <c r="Y4" s="2" t="s">
        <v>39</v>
      </c>
      <c r="Z4" s="4">
        <v>64500</v>
      </c>
      <c r="AA4" s="4">
        <v>99200</v>
      </c>
      <c r="AC4" s="4">
        <v>135000</v>
      </c>
      <c r="AD4" s="4">
        <v>155000</v>
      </c>
      <c r="AE4" s="4">
        <f t="shared" si="4"/>
        <v>-20000</v>
      </c>
      <c r="AF4" s="4"/>
      <c r="AG4" s="2" t="s">
        <v>39</v>
      </c>
      <c r="AH4" s="4">
        <v>68000</v>
      </c>
      <c r="AI4" s="4">
        <v>95000</v>
      </c>
      <c r="AK4" s="6">
        <f t="shared" si="12"/>
        <v>82000</v>
      </c>
      <c r="AL4" s="6">
        <f t="shared" si="13"/>
        <v>130000</v>
      </c>
      <c r="AM4" s="4">
        <f t="shared" si="6"/>
        <v>-48000</v>
      </c>
    </row>
    <row r="5" customHeight="1" spans="1:39">
      <c r="A5" s="2" t="s">
        <v>40</v>
      </c>
      <c r="B5" s="2">
        <v>15</v>
      </c>
      <c r="C5" s="2">
        <v>15</v>
      </c>
      <c r="E5" s="6">
        <f t="shared" si="7"/>
        <v>26000</v>
      </c>
      <c r="F5" s="6">
        <f t="shared" si="8"/>
        <v>34200</v>
      </c>
      <c r="G5" s="6">
        <f t="shared" si="1"/>
        <v>-8200</v>
      </c>
      <c r="I5" s="2" t="s">
        <v>40</v>
      </c>
      <c r="J5" s="2">
        <v>15</v>
      </c>
      <c r="K5" s="2">
        <v>15</v>
      </c>
      <c r="M5" s="4">
        <v>93500</v>
      </c>
      <c r="N5" s="4">
        <v>122800</v>
      </c>
      <c r="O5" s="6">
        <f t="shared" si="2"/>
        <v>-29300</v>
      </c>
      <c r="Q5" s="2" t="s">
        <v>40</v>
      </c>
      <c r="R5" s="2">
        <v>15</v>
      </c>
      <c r="S5" s="2">
        <v>15</v>
      </c>
      <c r="U5" s="4">
        <v>135000</v>
      </c>
      <c r="V5" s="4">
        <v>155000</v>
      </c>
      <c r="W5" s="4">
        <f t="shared" si="3"/>
        <v>-20000</v>
      </c>
      <c r="Y5" s="2" t="s">
        <v>40</v>
      </c>
      <c r="Z5" s="2">
        <v>15</v>
      </c>
      <c r="AA5" s="2">
        <v>15</v>
      </c>
      <c r="AC5" s="4">
        <v>135000</v>
      </c>
      <c r="AD5" s="4">
        <v>155000</v>
      </c>
      <c r="AE5" s="4">
        <f t="shared" si="4"/>
        <v>-20000</v>
      </c>
      <c r="AF5" s="4"/>
      <c r="AG5" s="2" t="s">
        <v>40</v>
      </c>
      <c r="AH5" s="2">
        <v>15</v>
      </c>
      <c r="AI5" s="2">
        <v>15</v>
      </c>
      <c r="AK5" s="6">
        <f t="shared" si="12"/>
        <v>82000</v>
      </c>
      <c r="AL5" s="6">
        <f t="shared" si="13"/>
        <v>130000</v>
      </c>
      <c r="AM5" s="4">
        <f t="shared" si="6"/>
        <v>-48000</v>
      </c>
    </row>
    <row r="6" customHeight="1" spans="1:39">
      <c r="A6" s="2" t="s">
        <v>41</v>
      </c>
      <c r="B6" s="3">
        <v>0.12</v>
      </c>
      <c r="C6" s="3">
        <v>0.12</v>
      </c>
      <c r="E6" s="6">
        <f t="shared" si="7"/>
        <v>26000</v>
      </c>
      <c r="F6" s="6">
        <f t="shared" si="8"/>
        <v>34200</v>
      </c>
      <c r="G6" s="6">
        <f t="shared" si="1"/>
        <v>-8200</v>
      </c>
      <c r="I6" s="2" t="s">
        <v>41</v>
      </c>
      <c r="J6" s="3">
        <v>0.12</v>
      </c>
      <c r="K6" s="3">
        <v>0.12</v>
      </c>
      <c r="M6" s="4">
        <v>93500</v>
      </c>
      <c r="N6" s="4">
        <v>122800</v>
      </c>
      <c r="O6" s="6">
        <f t="shared" si="2"/>
        <v>-29300</v>
      </c>
      <c r="Q6" s="2" t="s">
        <v>41</v>
      </c>
      <c r="R6" s="3">
        <v>0.12</v>
      </c>
      <c r="S6" s="3">
        <v>0.12</v>
      </c>
      <c r="U6" s="4">
        <v>135000</v>
      </c>
      <c r="V6" s="4">
        <v>155000</v>
      </c>
      <c r="W6" s="4">
        <f t="shared" si="3"/>
        <v>-20000</v>
      </c>
      <c r="Y6" s="2" t="s">
        <v>41</v>
      </c>
      <c r="Z6" s="3">
        <v>0.12</v>
      </c>
      <c r="AA6" s="3">
        <v>0.12</v>
      </c>
      <c r="AC6" s="4">
        <v>135000</v>
      </c>
      <c r="AD6" s="4">
        <v>155000</v>
      </c>
      <c r="AE6" s="4">
        <f t="shared" si="4"/>
        <v>-20000</v>
      </c>
      <c r="AF6" s="4"/>
      <c r="AG6" s="2" t="s">
        <v>41</v>
      </c>
      <c r="AH6" s="3">
        <v>0.12</v>
      </c>
      <c r="AI6" s="3">
        <v>0.12</v>
      </c>
      <c r="AK6" s="6">
        <f t="shared" si="12"/>
        <v>82000</v>
      </c>
      <c r="AL6" s="6">
        <f t="shared" si="13"/>
        <v>130000</v>
      </c>
      <c r="AM6" s="4">
        <f t="shared" si="6"/>
        <v>-48000</v>
      </c>
    </row>
    <row r="7" customHeight="1" spans="1:39">
      <c r="A7" s="2" t="s">
        <v>42</v>
      </c>
      <c r="B7" s="4">
        <v>58700</v>
      </c>
      <c r="C7" s="4">
        <v>98400</v>
      </c>
      <c r="E7" s="6">
        <f t="shared" si="7"/>
        <v>26000</v>
      </c>
      <c r="F7" s="6">
        <f t="shared" si="8"/>
        <v>34200</v>
      </c>
      <c r="G7" s="6">
        <f t="shared" si="1"/>
        <v>-8200</v>
      </c>
      <c r="I7" s="2" t="s">
        <v>42</v>
      </c>
      <c r="J7" s="4">
        <v>158000</v>
      </c>
      <c r="K7" s="4">
        <v>222000</v>
      </c>
      <c r="M7" s="4">
        <v>93500</v>
      </c>
      <c r="N7" s="4">
        <v>122800</v>
      </c>
      <c r="O7" s="6">
        <f t="shared" si="2"/>
        <v>-29300</v>
      </c>
      <c r="Q7" s="2" t="s">
        <v>42</v>
      </c>
      <c r="R7" s="4">
        <v>230000</v>
      </c>
      <c r="S7" s="4">
        <v>320000</v>
      </c>
      <c r="U7" s="4">
        <v>135000</v>
      </c>
      <c r="V7" s="4">
        <v>155000</v>
      </c>
      <c r="W7" s="4">
        <f t="shared" si="3"/>
        <v>-20000</v>
      </c>
      <c r="Y7" s="2" t="s">
        <v>42</v>
      </c>
      <c r="Z7" s="4">
        <v>158000</v>
      </c>
      <c r="AA7" s="4">
        <v>222000</v>
      </c>
      <c r="AC7" s="4">
        <v>135000</v>
      </c>
      <c r="AD7" s="4">
        <v>155000</v>
      </c>
      <c r="AE7" s="4">
        <f t="shared" si="4"/>
        <v>-20000</v>
      </c>
      <c r="AF7" s="4"/>
      <c r="AG7" s="2" t="s">
        <v>42</v>
      </c>
      <c r="AH7" s="4">
        <v>150000</v>
      </c>
      <c r="AI7" s="4">
        <v>225000</v>
      </c>
      <c r="AK7" s="6">
        <f t="shared" si="12"/>
        <v>82000</v>
      </c>
      <c r="AL7" s="6">
        <f t="shared" si="13"/>
        <v>130000</v>
      </c>
      <c r="AM7" s="4">
        <f t="shared" si="6"/>
        <v>-48000</v>
      </c>
    </row>
    <row r="8" customHeight="1" spans="1:39">
      <c r="A8" s="2" t="s">
        <v>43</v>
      </c>
      <c r="B8" s="4">
        <v>9500</v>
      </c>
      <c r="C8" s="4">
        <v>15600</v>
      </c>
      <c r="E8" s="6">
        <f t="shared" si="7"/>
        <v>26000</v>
      </c>
      <c r="F8" s="6">
        <f t="shared" si="8"/>
        <v>34200</v>
      </c>
      <c r="G8" s="6">
        <f t="shared" si="1"/>
        <v>-8200</v>
      </c>
      <c r="I8" s="2" t="s">
        <v>43</v>
      </c>
      <c r="J8" s="4">
        <v>22000</v>
      </c>
      <c r="K8" s="4">
        <v>48000</v>
      </c>
      <c r="M8" s="4">
        <v>93500</v>
      </c>
      <c r="N8" s="4">
        <v>122800</v>
      </c>
      <c r="O8" s="6">
        <f t="shared" si="2"/>
        <v>-29300</v>
      </c>
      <c r="Q8" s="2" t="s">
        <v>43</v>
      </c>
      <c r="R8" s="4">
        <v>45000</v>
      </c>
      <c r="S8" s="4">
        <v>55000</v>
      </c>
      <c r="U8" s="4">
        <v>135000</v>
      </c>
      <c r="V8" s="4">
        <v>155000</v>
      </c>
      <c r="W8" s="4">
        <f t="shared" si="3"/>
        <v>-20000</v>
      </c>
      <c r="Y8" s="2" t="s">
        <v>43</v>
      </c>
      <c r="Z8" s="4">
        <v>22000</v>
      </c>
      <c r="AA8" s="4">
        <v>48000</v>
      </c>
      <c r="AC8" s="4">
        <v>135000</v>
      </c>
      <c r="AD8" s="4">
        <v>155000</v>
      </c>
      <c r="AE8" s="4">
        <f t="shared" si="4"/>
        <v>-20000</v>
      </c>
      <c r="AF8" s="4"/>
      <c r="AG8" s="2" t="s">
        <v>43</v>
      </c>
      <c r="AH8" s="4">
        <v>18000</v>
      </c>
      <c r="AI8" s="4">
        <v>45000</v>
      </c>
      <c r="AK8" s="6">
        <f t="shared" si="12"/>
        <v>82000</v>
      </c>
      <c r="AL8" s="6">
        <f t="shared" si="13"/>
        <v>130000</v>
      </c>
      <c r="AM8" s="4">
        <f t="shared" si="6"/>
        <v>-48000</v>
      </c>
    </row>
    <row r="9" customHeight="1" spans="5:39">
      <c r="E9" s="6">
        <f t="shared" si="7"/>
        <v>26000</v>
      </c>
      <c r="F9" s="6">
        <f t="shared" si="8"/>
        <v>34200</v>
      </c>
      <c r="G9" s="6">
        <f t="shared" si="1"/>
        <v>-8200</v>
      </c>
      <c r="M9" s="4">
        <v>93500</v>
      </c>
      <c r="N9" s="4">
        <v>122800</v>
      </c>
      <c r="O9" s="6">
        <f t="shared" si="2"/>
        <v>-29300</v>
      </c>
      <c r="U9" s="4">
        <v>135000</v>
      </c>
      <c r="V9" s="4">
        <v>155000</v>
      </c>
      <c r="W9" s="4">
        <f t="shared" si="3"/>
        <v>-20000</v>
      </c>
      <c r="AC9" s="4">
        <v>135000</v>
      </c>
      <c r="AD9" s="4">
        <v>155000</v>
      </c>
      <c r="AE9" s="4">
        <f t="shared" si="4"/>
        <v>-20000</v>
      </c>
      <c r="AF9" s="4"/>
      <c r="AK9" s="6">
        <f t="shared" si="12"/>
        <v>82000</v>
      </c>
      <c r="AL9" s="6">
        <f t="shared" si="13"/>
        <v>130000</v>
      </c>
      <c r="AM9" s="4">
        <f t="shared" si="6"/>
        <v>-48000</v>
      </c>
    </row>
    <row r="10" customHeight="1" spans="5:39">
      <c r="E10" s="6">
        <f t="shared" si="7"/>
        <v>26000</v>
      </c>
      <c r="F10" s="6">
        <f t="shared" si="8"/>
        <v>34200</v>
      </c>
      <c r="G10" s="6">
        <f t="shared" si="1"/>
        <v>-8200</v>
      </c>
      <c r="M10" s="4">
        <v>93500</v>
      </c>
      <c r="N10" s="4">
        <v>122800</v>
      </c>
      <c r="O10" s="6">
        <f t="shared" si="2"/>
        <v>-29300</v>
      </c>
      <c r="U10" s="4">
        <v>135000</v>
      </c>
      <c r="V10" s="4">
        <v>155000</v>
      </c>
      <c r="W10" s="4">
        <f t="shared" si="3"/>
        <v>-20000</v>
      </c>
      <c r="AC10" s="4">
        <v>135000</v>
      </c>
      <c r="AD10" s="4">
        <v>155000</v>
      </c>
      <c r="AE10" s="4">
        <f t="shared" si="4"/>
        <v>-20000</v>
      </c>
      <c r="AF10" s="4"/>
      <c r="AK10" s="6">
        <f t="shared" si="12"/>
        <v>82000</v>
      </c>
      <c r="AL10" s="6">
        <f t="shared" si="13"/>
        <v>130000</v>
      </c>
      <c r="AM10" s="4">
        <f t="shared" si="6"/>
        <v>-48000</v>
      </c>
    </row>
    <row r="11" customHeight="1" spans="5:39">
      <c r="E11" s="6">
        <f t="shared" si="7"/>
        <v>26000</v>
      </c>
      <c r="F11" s="6">
        <f t="shared" si="8"/>
        <v>34200</v>
      </c>
      <c r="G11" s="6">
        <f t="shared" si="1"/>
        <v>-8200</v>
      </c>
      <c r="M11" s="4">
        <v>93500</v>
      </c>
      <c r="N11" s="4">
        <v>122800</v>
      </c>
      <c r="O11" s="6">
        <f t="shared" si="2"/>
        <v>-29300</v>
      </c>
      <c r="U11" s="4">
        <v>135000</v>
      </c>
      <c r="V11" s="4">
        <v>155000</v>
      </c>
      <c r="W11" s="4">
        <f t="shared" si="3"/>
        <v>-20000</v>
      </c>
      <c r="AC11" s="4">
        <v>135000</v>
      </c>
      <c r="AD11" s="4">
        <v>155000</v>
      </c>
      <c r="AE11" s="4">
        <f t="shared" si="4"/>
        <v>-20000</v>
      </c>
      <c r="AF11" s="4"/>
      <c r="AK11" s="6">
        <f t="shared" si="12"/>
        <v>82000</v>
      </c>
      <c r="AL11" s="6">
        <f t="shared" si="13"/>
        <v>130000</v>
      </c>
      <c r="AM11" s="4">
        <f t="shared" si="6"/>
        <v>-48000</v>
      </c>
    </row>
    <row r="12" customHeight="1" spans="5:39">
      <c r="E12" s="6">
        <f t="shared" si="7"/>
        <v>26000</v>
      </c>
      <c r="F12" s="6">
        <f t="shared" si="8"/>
        <v>34200</v>
      </c>
      <c r="G12" s="6">
        <f t="shared" si="1"/>
        <v>-8200</v>
      </c>
      <c r="M12" s="4">
        <v>93500</v>
      </c>
      <c r="N12" s="4">
        <v>122800</v>
      </c>
      <c r="O12" s="6">
        <f t="shared" si="2"/>
        <v>-29300</v>
      </c>
      <c r="U12" s="4">
        <v>135000</v>
      </c>
      <c r="V12" s="4">
        <v>155000</v>
      </c>
      <c r="W12" s="4">
        <f t="shared" si="3"/>
        <v>-20000</v>
      </c>
      <c r="AC12" s="4">
        <v>135000</v>
      </c>
      <c r="AD12" s="4">
        <v>155000</v>
      </c>
      <c r="AE12" s="4">
        <f t="shared" si="4"/>
        <v>-20000</v>
      </c>
      <c r="AF12" s="4"/>
      <c r="AK12" s="6">
        <f t="shared" si="12"/>
        <v>82000</v>
      </c>
      <c r="AL12" s="6">
        <f t="shared" si="13"/>
        <v>130000</v>
      </c>
      <c r="AM12" s="4">
        <f t="shared" si="6"/>
        <v>-48000</v>
      </c>
    </row>
    <row r="13" customHeight="1" spans="5:39">
      <c r="E13" s="6">
        <f t="shared" si="7"/>
        <v>26000</v>
      </c>
      <c r="F13" s="6">
        <f t="shared" si="8"/>
        <v>34200</v>
      </c>
      <c r="G13" s="6">
        <f t="shared" si="1"/>
        <v>-8200</v>
      </c>
      <c r="M13" s="4">
        <v>93500</v>
      </c>
      <c r="N13" s="4">
        <v>122800</v>
      </c>
      <c r="O13" s="6">
        <f t="shared" si="2"/>
        <v>-29300</v>
      </c>
      <c r="U13" s="4">
        <v>135000</v>
      </c>
      <c r="V13" s="4">
        <v>155000</v>
      </c>
      <c r="W13" s="4">
        <f t="shared" si="3"/>
        <v>-20000</v>
      </c>
      <c r="AC13" s="4">
        <v>135000</v>
      </c>
      <c r="AD13" s="4">
        <v>155000</v>
      </c>
      <c r="AE13" s="4">
        <f t="shared" si="4"/>
        <v>-20000</v>
      </c>
      <c r="AF13" s="4"/>
      <c r="AK13" s="6">
        <f t="shared" si="12"/>
        <v>82000</v>
      </c>
      <c r="AL13" s="6">
        <f t="shared" si="13"/>
        <v>130000</v>
      </c>
      <c r="AM13" s="4">
        <f t="shared" si="6"/>
        <v>-48000</v>
      </c>
    </row>
    <row r="14" customHeight="1" spans="5:39">
      <c r="E14" s="6">
        <f t="shared" si="7"/>
        <v>26000</v>
      </c>
      <c r="F14" s="6">
        <f t="shared" si="8"/>
        <v>34200</v>
      </c>
      <c r="G14" s="6">
        <f t="shared" si="1"/>
        <v>-8200</v>
      </c>
      <c r="M14" s="4">
        <v>93500</v>
      </c>
      <c r="N14" s="4">
        <v>122800</v>
      </c>
      <c r="O14" s="6">
        <f t="shared" si="2"/>
        <v>-29300</v>
      </c>
      <c r="U14" s="4">
        <v>135000</v>
      </c>
      <c r="V14" s="4">
        <v>155000</v>
      </c>
      <c r="W14" s="4">
        <f t="shared" si="3"/>
        <v>-20000</v>
      </c>
      <c r="AC14" s="4">
        <v>135000</v>
      </c>
      <c r="AD14" s="4">
        <v>155000</v>
      </c>
      <c r="AE14" s="4">
        <f t="shared" si="4"/>
        <v>-20000</v>
      </c>
      <c r="AF14" s="4"/>
      <c r="AK14" s="6">
        <f t="shared" si="12"/>
        <v>82000</v>
      </c>
      <c r="AL14" s="6">
        <f t="shared" si="13"/>
        <v>130000</v>
      </c>
      <c r="AM14" s="4">
        <f t="shared" si="6"/>
        <v>-48000</v>
      </c>
    </row>
    <row r="15" customHeight="1" spans="5:39">
      <c r="E15" s="6">
        <f t="shared" si="7"/>
        <v>26000</v>
      </c>
      <c r="F15" s="6">
        <f t="shared" si="8"/>
        <v>34200</v>
      </c>
      <c r="G15" s="6">
        <f t="shared" si="1"/>
        <v>-8200</v>
      </c>
      <c r="M15" s="4">
        <v>93500</v>
      </c>
      <c r="N15" s="4">
        <v>122800</v>
      </c>
      <c r="O15" s="6">
        <f t="shared" si="2"/>
        <v>-29300</v>
      </c>
      <c r="U15" s="4">
        <v>135000</v>
      </c>
      <c r="V15" s="4">
        <v>155000</v>
      </c>
      <c r="W15" s="4">
        <f t="shared" si="3"/>
        <v>-20000</v>
      </c>
      <c r="AC15" s="4">
        <v>135000</v>
      </c>
      <c r="AD15" s="4">
        <v>155000</v>
      </c>
      <c r="AE15" s="4">
        <f t="shared" si="4"/>
        <v>-20000</v>
      </c>
      <c r="AF15" s="4"/>
      <c r="AK15" s="6">
        <f t="shared" si="12"/>
        <v>82000</v>
      </c>
      <c r="AL15" s="6">
        <f t="shared" si="13"/>
        <v>130000</v>
      </c>
      <c r="AM15" s="4">
        <f t="shared" si="6"/>
        <v>-48000</v>
      </c>
    </row>
    <row r="16" customHeight="1" spans="5:39">
      <c r="E16" s="6">
        <f t="shared" si="7"/>
        <v>26000</v>
      </c>
      <c r="F16" s="6">
        <f t="shared" si="8"/>
        <v>34200</v>
      </c>
      <c r="G16" s="6">
        <f t="shared" si="1"/>
        <v>-8200</v>
      </c>
      <c r="M16" s="4">
        <v>93500</v>
      </c>
      <c r="N16" s="4">
        <v>122800</v>
      </c>
      <c r="O16" s="6">
        <f t="shared" si="2"/>
        <v>-29300</v>
      </c>
      <c r="U16" s="4">
        <v>135000</v>
      </c>
      <c r="V16" s="4">
        <v>155000</v>
      </c>
      <c r="W16" s="4">
        <f t="shared" si="3"/>
        <v>-20000</v>
      </c>
      <c r="AC16" s="4">
        <v>135000</v>
      </c>
      <c r="AD16" s="4">
        <v>155000</v>
      </c>
      <c r="AE16" s="4">
        <f t="shared" si="4"/>
        <v>-20000</v>
      </c>
      <c r="AF16" s="4"/>
      <c r="AK16" s="6">
        <f t="shared" si="12"/>
        <v>82000</v>
      </c>
      <c r="AL16" s="6">
        <f t="shared" si="13"/>
        <v>130000</v>
      </c>
      <c r="AM16" s="4">
        <f t="shared" si="6"/>
        <v>-48000</v>
      </c>
    </row>
    <row r="17" customHeight="1" spans="5:39">
      <c r="E17" s="4">
        <f t="shared" ref="E17:F17" si="14">E3+B8</f>
        <v>35500</v>
      </c>
      <c r="F17" s="4">
        <f t="shared" si="14"/>
        <v>49800</v>
      </c>
      <c r="G17" s="6">
        <f t="shared" si="1"/>
        <v>-14300</v>
      </c>
      <c r="M17" s="4">
        <f>93500+J8</f>
        <v>115500</v>
      </c>
      <c r="N17" s="4">
        <f>122800+K8</f>
        <v>170800</v>
      </c>
      <c r="O17" s="6">
        <f t="shared" si="2"/>
        <v>-55300</v>
      </c>
      <c r="U17" s="4">
        <f>135000+R8</f>
        <v>180000</v>
      </c>
      <c r="V17" s="4">
        <f>155000+S8</f>
        <v>210000</v>
      </c>
      <c r="W17" s="4">
        <f t="shared" si="3"/>
        <v>-30000</v>
      </c>
      <c r="AC17" s="4">
        <f>135000+Z8</f>
        <v>157000</v>
      </c>
      <c r="AD17" s="4">
        <f>155000+AA8</f>
        <v>203000</v>
      </c>
      <c r="AE17" s="4">
        <f t="shared" si="4"/>
        <v>-46000</v>
      </c>
      <c r="AF17" s="4"/>
      <c r="AK17" s="4">
        <f t="shared" ref="AK17:AL17" si="15">AK3+AH8</f>
        <v>100000</v>
      </c>
      <c r="AL17" s="4">
        <f t="shared" si="15"/>
        <v>175000</v>
      </c>
      <c r="AM17" s="4">
        <f t="shared" si="6"/>
        <v>-75000</v>
      </c>
    </row>
    <row r="18" customHeight="1" spans="4:39">
      <c r="D18" s="2" t="s">
        <v>44</v>
      </c>
      <c r="E18" s="6">
        <f t="shared" ref="E18:F18" si="16">NPV(B6,E3:E17)</f>
        <v>178818.0912081</v>
      </c>
      <c r="F18" s="6">
        <f t="shared" si="16"/>
        <v>235781.627215425</v>
      </c>
      <c r="G18" s="6">
        <f t="array" ref="G18">NPV(C6,G3:G17)</f>
        <v>-56963.5360073246</v>
      </c>
      <c r="L18" s="2" t="s">
        <v>44</v>
      </c>
      <c r="M18" s="6">
        <f t="shared" ref="M18:N18" si="17">NPV(J6,M3:M17)</f>
        <v>640835.14751279</v>
      </c>
      <c r="N18" s="6">
        <f t="shared" si="17"/>
        <v>845143.579846984</v>
      </c>
      <c r="O18" s="6">
        <f t="array" ref="O18">NPV(K6,O3:O17)</f>
        <v>-204308.432334194</v>
      </c>
      <c r="T18" s="2" t="s">
        <v>44</v>
      </c>
      <c r="U18" s="6">
        <f t="shared" ref="U18:V18" si="18">NPV(R6,U3:U17)</f>
        <v>927688.037834664</v>
      </c>
      <c r="V18" s="6">
        <f t="shared" si="18"/>
        <v>1065732.29023661</v>
      </c>
      <c r="W18" s="4">
        <f t="array" ref="W18">NPV(S6,W3:W17)</f>
        <v>-138044.252401942</v>
      </c>
      <c r="AB18" s="2" t="s">
        <v>44</v>
      </c>
      <c r="AC18" s="6">
        <f t="shared" ref="AC18:AD18" si="19">NPV(Z6,AC3:AC17)</f>
        <v>886432.452397016</v>
      </c>
      <c r="AD18" s="6">
        <f t="shared" si="19"/>
        <v>1035703.41640776</v>
      </c>
      <c r="AE18" s="4">
        <f t="array" ref="AE18">NPV(AA6,AE3:AE17)</f>
        <v>-149270.964010741</v>
      </c>
      <c r="AF18" s="4"/>
      <c r="AJ18" s="2" t="s">
        <v>44</v>
      </c>
      <c r="AK18" s="6">
        <f t="shared" ref="AK18:AL18" si="20">NPV(AH6,AK3:AK17)</f>
        <v>561779.420838886</v>
      </c>
      <c r="AL18" s="6">
        <f t="shared" si="20"/>
        <v>893633.715387339</v>
      </c>
      <c r="AM18" s="4">
        <f t="array" ref="AM18">NPV(AI6,AM3:AM17)</f>
        <v>-331854.294548453</v>
      </c>
    </row>
    <row r="19" customHeight="1" spans="4:39">
      <c r="D19" s="2" t="s">
        <v>45</v>
      </c>
      <c r="E19" s="6">
        <f t="shared" ref="E19:G19" si="21">E18+E2</f>
        <v>43318.0912080999</v>
      </c>
      <c r="F19" s="6">
        <f t="shared" si="21"/>
        <v>9981.62721542455</v>
      </c>
      <c r="G19" s="6">
        <f t="shared" si="21"/>
        <v>33336.4639926754</v>
      </c>
      <c r="L19" s="2" t="s">
        <v>45</v>
      </c>
      <c r="M19" s="6">
        <f t="shared" ref="M19:O19" si="22">M18+M2</f>
        <v>362835.14751279</v>
      </c>
      <c r="N19" s="6">
        <f t="shared" si="22"/>
        <v>505143.579846984</v>
      </c>
      <c r="O19" s="6">
        <f t="shared" si="22"/>
        <v>-142308.432334194</v>
      </c>
      <c r="T19" s="2" t="s">
        <v>45</v>
      </c>
      <c r="U19" s="6">
        <f t="shared" ref="U19:W19" si="23">U18+U2</f>
        <v>377688.037834664</v>
      </c>
      <c r="V19" s="6">
        <f t="shared" si="23"/>
        <v>390732.290236606</v>
      </c>
      <c r="W19" s="4">
        <f t="shared" si="23"/>
        <v>-13044.252401942</v>
      </c>
      <c r="AB19" s="2" t="s">
        <v>45</v>
      </c>
      <c r="AC19" s="6">
        <f t="shared" ref="AC19:AE19" si="24">AC18+AC2</f>
        <v>336432.452397016</v>
      </c>
      <c r="AD19" s="6">
        <f t="shared" si="24"/>
        <v>360703.416407757</v>
      </c>
      <c r="AE19" s="4">
        <f t="shared" si="24"/>
        <v>-24270.9640107406</v>
      </c>
      <c r="AF19" s="4"/>
      <c r="AJ19" s="2" t="s">
        <v>45</v>
      </c>
      <c r="AK19" s="6">
        <f t="shared" ref="AK19:AM19" si="25">AK18+AK2</f>
        <v>356779.420838886</v>
      </c>
      <c r="AL19" s="6">
        <f t="shared" si="25"/>
        <v>513633.715387339</v>
      </c>
      <c r="AM19" s="4">
        <f t="shared" si="25"/>
        <v>-156854.294548453</v>
      </c>
    </row>
    <row r="20" customHeight="1" spans="4:39">
      <c r="D20" s="2" t="s">
        <v>46</v>
      </c>
      <c r="E20" s="7">
        <f t="shared" ref="E20:F20" si="26">IRR(E2:E17,B6)</f>
        <v>0.17613083783655</v>
      </c>
      <c r="F20" s="7">
        <f t="shared" si="26"/>
        <v>0.128065063450137</v>
      </c>
      <c r="G20" s="7">
        <f>IRR(G2:G17,C6)</f>
        <v>0.0464187958159421</v>
      </c>
      <c r="L20" s="2" t="s">
        <v>46</v>
      </c>
      <c r="M20" s="7">
        <f t="shared" ref="M20:N20" si="27">IRR(M2:M17,J6)</f>
        <v>0.332131191276793</v>
      </c>
      <c r="N20" s="7">
        <f t="shared" si="27"/>
        <v>0.35802412547765</v>
      </c>
      <c r="O20" s="7">
        <f>IRR(O2:O17,K6)</f>
        <v>0.471746105747611</v>
      </c>
      <c r="T20" s="2" t="s">
        <v>46</v>
      </c>
      <c r="U20" s="7">
        <f t="shared" ref="U20:V20" si="28">IRR(U2:U17,R6)</f>
        <v>0.236037681868965</v>
      </c>
      <c r="V20" s="7">
        <f t="shared" si="28"/>
        <v>0.218732434066868</v>
      </c>
      <c r="W20" s="5">
        <f>IRR(W2:W17,S6)</f>
        <v>0.138811329949336</v>
      </c>
      <c r="AB20" s="2" t="s">
        <v>46</v>
      </c>
      <c r="AC20" s="7">
        <f t="shared" ref="AC20:AD20" si="29">IRR(AC2:AC17,Z6)</f>
        <v>0.219845526593446</v>
      </c>
      <c r="AD20" s="7">
        <f t="shared" si="29"/>
        <v>0.208910142577896</v>
      </c>
      <c r="AE20" s="5">
        <f>IRR(AE2:AE17,AA6)</f>
        <v>0.155373557696021</v>
      </c>
      <c r="AF20" s="5"/>
      <c r="AJ20" s="2" t="s">
        <v>46</v>
      </c>
      <c r="AK20" s="7">
        <f t="shared" ref="AK20:AL20" si="30">IRR(AK2:AK17,AH6)</f>
        <v>0.397591790697963</v>
      </c>
      <c r="AL20" s="7">
        <f t="shared" si="30"/>
        <v>0.338287304965441</v>
      </c>
      <c r="AM20" s="5">
        <f>IRR(AM2:AM17,AI6)</f>
        <v>0.267642309194626</v>
      </c>
    </row>
    <row r="22" customHeight="1" spans="1:20">
      <c r="A22" s="1" t="s">
        <v>47</v>
      </c>
      <c r="P22" s="2" t="s">
        <v>48</v>
      </c>
      <c r="T22" s="2" t="s">
        <v>49</v>
      </c>
    </row>
    <row r="23" customHeight="1" spans="2:34">
      <c r="B23" s="2" t="s">
        <v>36</v>
      </c>
      <c r="C23" s="2" t="s">
        <v>37</v>
      </c>
      <c r="E23" s="4">
        <v>-1000</v>
      </c>
      <c r="G23" s="4">
        <v>-600</v>
      </c>
      <c r="H23" s="4"/>
      <c r="J23" s="2" t="s">
        <v>36</v>
      </c>
      <c r="K23" s="2" t="s">
        <v>37</v>
      </c>
      <c r="M23" s="4">
        <f>-$J$24</f>
        <v>-19000</v>
      </c>
      <c r="P23" s="6">
        <f t="shared" ref="P23:P35" si="31">M23+N23+O23</f>
        <v>-19000</v>
      </c>
      <c r="R23" s="6">
        <f>-$K$24</f>
        <v>-25000</v>
      </c>
      <c r="S23" s="4"/>
      <c r="T23" s="6">
        <f t="shared" ref="T23:T35" si="32">R23+S23</f>
        <v>-25000</v>
      </c>
      <c r="W23" s="2" t="s">
        <v>36</v>
      </c>
      <c r="X23" s="2" t="s">
        <v>37</v>
      </c>
      <c r="Z23" s="4">
        <v>0</v>
      </c>
      <c r="AA23" s="4">
        <v>-25000</v>
      </c>
      <c r="AD23" s="2" t="s">
        <v>36</v>
      </c>
      <c r="AE23" s="2" t="s">
        <v>37</v>
      </c>
      <c r="AG23" s="4">
        <v>-5000</v>
      </c>
      <c r="AH23" s="4">
        <v>-8000</v>
      </c>
    </row>
    <row r="24" customHeight="1" spans="1:34">
      <c r="A24" s="2" t="s">
        <v>38</v>
      </c>
      <c r="B24" s="4">
        <v>1000</v>
      </c>
      <c r="C24" s="4">
        <v>600</v>
      </c>
      <c r="E24" s="4">
        <v>200</v>
      </c>
      <c r="G24" s="4">
        <v>100</v>
      </c>
      <c r="H24" s="4"/>
      <c r="I24" s="2" t="s">
        <v>38</v>
      </c>
      <c r="J24" s="4">
        <v>19000</v>
      </c>
      <c r="K24" s="4">
        <v>25000</v>
      </c>
      <c r="M24" s="4">
        <f t="shared" ref="M24:M27" si="33">$J$25</f>
        <v>12000</v>
      </c>
      <c r="P24" s="6">
        <f t="shared" si="31"/>
        <v>12000</v>
      </c>
      <c r="R24" s="6">
        <f t="shared" ref="R24:R29" si="34">$K$25</f>
        <v>8000</v>
      </c>
      <c r="S24" s="4"/>
      <c r="T24" s="6">
        <f t="shared" si="32"/>
        <v>8000</v>
      </c>
      <c r="V24" s="2" t="s">
        <v>38</v>
      </c>
      <c r="W24" s="4">
        <v>0</v>
      </c>
      <c r="X24" s="4">
        <v>25000</v>
      </c>
      <c r="Z24" s="4">
        <v>-12000</v>
      </c>
      <c r="AA24" s="4">
        <v>-8000</v>
      </c>
      <c r="AC24" s="2" t="s">
        <v>38</v>
      </c>
      <c r="AD24" s="4">
        <v>5000</v>
      </c>
      <c r="AE24" s="4">
        <v>8000</v>
      </c>
      <c r="AG24" s="4">
        <v>1672</v>
      </c>
      <c r="AH24" s="4">
        <v>1594</v>
      </c>
    </row>
    <row r="25" customHeight="1" spans="1:34">
      <c r="A25" s="2" t="s">
        <v>50</v>
      </c>
      <c r="B25" s="4">
        <v>200</v>
      </c>
      <c r="C25" s="4">
        <v>100</v>
      </c>
      <c r="E25" s="4">
        <v>200</v>
      </c>
      <c r="G25" s="4">
        <v>100</v>
      </c>
      <c r="H25" s="4"/>
      <c r="I25" s="2" t="s">
        <v>50</v>
      </c>
      <c r="J25" s="4">
        <v>12000</v>
      </c>
      <c r="K25" s="4">
        <v>8000</v>
      </c>
      <c r="M25" s="4">
        <f t="shared" si="33"/>
        <v>12000</v>
      </c>
      <c r="P25" s="6">
        <f t="shared" si="31"/>
        <v>12000</v>
      </c>
      <c r="R25" s="6">
        <f t="shared" si="34"/>
        <v>8000</v>
      </c>
      <c r="S25" s="4"/>
      <c r="T25" s="6">
        <f t="shared" si="32"/>
        <v>8000</v>
      </c>
      <c r="V25" s="2" t="s">
        <v>51</v>
      </c>
      <c r="W25" s="4">
        <v>12000</v>
      </c>
      <c r="X25" s="4">
        <v>8000</v>
      </c>
      <c r="Z25" s="4">
        <v>-12000</v>
      </c>
      <c r="AA25" s="4">
        <v>-8000</v>
      </c>
      <c r="AC25" s="2" t="s">
        <v>52</v>
      </c>
      <c r="AD25" s="4">
        <v>1672</v>
      </c>
      <c r="AE25" s="4">
        <v>1594</v>
      </c>
      <c r="AG25" s="4">
        <v>1672</v>
      </c>
      <c r="AH25" s="4">
        <v>1594</v>
      </c>
    </row>
    <row r="26" customHeight="1" spans="1:34">
      <c r="A26" s="2" t="s">
        <v>40</v>
      </c>
      <c r="B26" s="2">
        <v>10</v>
      </c>
      <c r="C26" s="2">
        <v>20</v>
      </c>
      <c r="E26" s="4">
        <v>200</v>
      </c>
      <c r="G26" s="4">
        <v>100</v>
      </c>
      <c r="H26" s="4"/>
      <c r="I26" s="2" t="s">
        <v>40</v>
      </c>
      <c r="J26" s="2">
        <v>4</v>
      </c>
      <c r="K26" s="2">
        <v>6</v>
      </c>
      <c r="M26" s="4">
        <f t="shared" si="33"/>
        <v>12000</v>
      </c>
      <c r="P26" s="6">
        <f t="shared" si="31"/>
        <v>12000</v>
      </c>
      <c r="R26" s="6">
        <f t="shared" si="34"/>
        <v>8000</v>
      </c>
      <c r="S26" s="4"/>
      <c r="T26" s="6">
        <f t="shared" si="32"/>
        <v>8000</v>
      </c>
      <c r="V26" s="2" t="s">
        <v>40</v>
      </c>
      <c r="W26" s="2">
        <v>2</v>
      </c>
      <c r="X26" s="2">
        <v>6</v>
      </c>
      <c r="Z26" s="4">
        <v>-12000</v>
      </c>
      <c r="AA26" s="4">
        <v>-8000</v>
      </c>
      <c r="AC26" s="2" t="s">
        <v>40</v>
      </c>
      <c r="AD26" s="2">
        <v>5</v>
      </c>
      <c r="AE26" s="2">
        <v>10</v>
      </c>
      <c r="AG26" s="4">
        <v>1672</v>
      </c>
      <c r="AH26" s="4">
        <v>1594</v>
      </c>
    </row>
    <row r="27" customHeight="1" spans="1:34">
      <c r="A27" s="2" t="s">
        <v>41</v>
      </c>
      <c r="B27" s="3">
        <v>0.1</v>
      </c>
      <c r="C27" s="3">
        <v>0.1</v>
      </c>
      <c r="E27" s="4">
        <v>200</v>
      </c>
      <c r="G27" s="4">
        <v>100</v>
      </c>
      <c r="H27" s="4"/>
      <c r="I27" s="2" t="s">
        <v>41</v>
      </c>
      <c r="J27" s="3">
        <v>0.07</v>
      </c>
      <c r="K27" s="3">
        <v>0.07</v>
      </c>
      <c r="M27" s="4">
        <f t="shared" si="33"/>
        <v>12000</v>
      </c>
      <c r="N27" s="4">
        <f>-$J$24</f>
        <v>-19000</v>
      </c>
      <c r="P27" s="6">
        <f t="shared" si="31"/>
        <v>-7000</v>
      </c>
      <c r="R27" s="6">
        <f t="shared" si="34"/>
        <v>8000</v>
      </c>
      <c r="S27" s="4"/>
      <c r="T27" s="6">
        <f t="shared" si="32"/>
        <v>8000</v>
      </c>
      <c r="V27" s="2" t="s">
        <v>41</v>
      </c>
      <c r="W27" s="3">
        <v>0.06</v>
      </c>
      <c r="X27" s="3">
        <v>0.06</v>
      </c>
      <c r="Z27" s="4">
        <v>-12000</v>
      </c>
      <c r="AA27" s="4">
        <v>-8000</v>
      </c>
      <c r="AC27" s="2" t="s">
        <v>41</v>
      </c>
      <c r="AD27" s="3">
        <v>0.1</v>
      </c>
      <c r="AE27" s="3">
        <v>0.1</v>
      </c>
      <c r="AG27" s="4">
        <v>1672</v>
      </c>
      <c r="AH27" s="4">
        <v>1594</v>
      </c>
    </row>
    <row r="28" customHeight="1" spans="2:34">
      <c r="B28" s="4"/>
      <c r="C28" s="4"/>
      <c r="E28" s="4">
        <v>200</v>
      </c>
      <c r="G28" s="4">
        <v>100</v>
      </c>
      <c r="H28" s="4"/>
      <c r="J28" s="4"/>
      <c r="K28" s="4"/>
      <c r="M28" s="4"/>
      <c r="N28" s="4">
        <f t="shared" ref="N28:N31" si="35">$J$25</f>
        <v>12000</v>
      </c>
      <c r="P28" s="6">
        <f t="shared" si="31"/>
        <v>12000</v>
      </c>
      <c r="R28" s="6">
        <f t="shared" si="34"/>
        <v>8000</v>
      </c>
      <c r="S28" s="4"/>
      <c r="T28" s="6">
        <f t="shared" si="32"/>
        <v>8000</v>
      </c>
      <c r="W28" s="4"/>
      <c r="X28" s="4"/>
      <c r="Z28" s="4">
        <v>-12000</v>
      </c>
      <c r="AA28" s="4">
        <v>-8000</v>
      </c>
      <c r="AD28" s="4"/>
      <c r="AE28" s="4"/>
      <c r="AG28" s="4">
        <f>AG23+AG24</f>
        <v>-3328</v>
      </c>
      <c r="AH28" s="4">
        <v>1594</v>
      </c>
    </row>
    <row r="29" customHeight="1" spans="2:34">
      <c r="B29" s="4"/>
      <c r="C29" s="4"/>
      <c r="E29" s="4">
        <v>200</v>
      </c>
      <c r="G29" s="4">
        <v>100</v>
      </c>
      <c r="H29" s="4"/>
      <c r="J29" s="4"/>
      <c r="K29" s="4"/>
      <c r="M29" s="4"/>
      <c r="N29" s="4">
        <f t="shared" si="35"/>
        <v>12000</v>
      </c>
      <c r="P29" s="6">
        <f t="shared" si="31"/>
        <v>12000</v>
      </c>
      <c r="R29" s="6">
        <f t="shared" si="34"/>
        <v>8000</v>
      </c>
      <c r="S29" s="6">
        <f>-$K$24</f>
        <v>-25000</v>
      </c>
      <c r="T29" s="6">
        <f t="shared" si="32"/>
        <v>-17000</v>
      </c>
      <c r="W29" s="4"/>
      <c r="X29" s="4"/>
      <c r="Z29" s="4">
        <v>-12000</v>
      </c>
      <c r="AA29" s="4">
        <v>-8000</v>
      </c>
      <c r="AD29" s="4"/>
      <c r="AE29" s="4"/>
      <c r="AG29" s="4">
        <v>1672</v>
      </c>
      <c r="AH29" s="4">
        <v>1594</v>
      </c>
    </row>
    <row r="30" customHeight="1" spans="5:34">
      <c r="E30" s="4">
        <v>200</v>
      </c>
      <c r="G30" s="4">
        <v>100</v>
      </c>
      <c r="H30" s="4"/>
      <c r="M30" s="4"/>
      <c r="N30" s="4">
        <f t="shared" si="35"/>
        <v>12000</v>
      </c>
      <c r="P30" s="6">
        <f t="shared" si="31"/>
        <v>12000</v>
      </c>
      <c r="S30" s="6">
        <f t="shared" ref="S30:S35" si="36">$K$25</f>
        <v>8000</v>
      </c>
      <c r="T30" s="6">
        <f t="shared" si="32"/>
        <v>8000</v>
      </c>
      <c r="Z30" s="4">
        <f t="shared" ref="Z30:AA30" si="37">NPV(W27,Z24:Z29)+Z23</f>
        <v>-59007.8919120647</v>
      </c>
      <c r="AA30" s="6">
        <f t="shared" si="37"/>
        <v>-64338.5946080431</v>
      </c>
      <c r="AG30" s="4">
        <v>1672</v>
      </c>
      <c r="AH30" s="4">
        <v>1594</v>
      </c>
    </row>
    <row r="31" customHeight="1" spans="5:34">
      <c r="E31" s="4">
        <v>200</v>
      </c>
      <c r="G31" s="4">
        <v>100</v>
      </c>
      <c r="H31" s="4"/>
      <c r="M31" s="4"/>
      <c r="N31" s="4">
        <f t="shared" si="35"/>
        <v>12000</v>
      </c>
      <c r="O31" s="4">
        <f>-$J$24</f>
        <v>-19000</v>
      </c>
      <c r="P31" s="6">
        <f t="shared" si="31"/>
        <v>-7000</v>
      </c>
      <c r="S31" s="6">
        <f t="shared" si="36"/>
        <v>8000</v>
      </c>
      <c r="T31" s="6">
        <f t="shared" si="32"/>
        <v>8000</v>
      </c>
      <c r="AG31" s="4">
        <v>1672</v>
      </c>
      <c r="AH31" s="4">
        <v>1594</v>
      </c>
    </row>
    <row r="32" customHeight="1" spans="5:34">
      <c r="E32" s="4">
        <v>200</v>
      </c>
      <c r="G32" s="4">
        <v>100</v>
      </c>
      <c r="H32" s="4"/>
      <c r="M32" s="4"/>
      <c r="O32" s="4">
        <f t="shared" ref="O32:O35" si="38">$J$25</f>
        <v>12000</v>
      </c>
      <c r="P32" s="6">
        <f t="shared" si="31"/>
        <v>12000</v>
      </c>
      <c r="S32" s="6">
        <f t="shared" si="36"/>
        <v>8000</v>
      </c>
      <c r="T32" s="6">
        <f t="shared" si="32"/>
        <v>8000</v>
      </c>
      <c r="AG32" s="4">
        <v>1672</v>
      </c>
      <c r="AH32" s="4">
        <v>1594</v>
      </c>
    </row>
    <row r="33" customHeight="1" spans="5:34">
      <c r="E33" s="4">
        <v>-800</v>
      </c>
      <c r="F33" s="4"/>
      <c r="G33" s="4">
        <v>100</v>
      </c>
      <c r="H33" s="4"/>
      <c r="M33" s="4"/>
      <c r="O33" s="4">
        <f t="shared" si="38"/>
        <v>12000</v>
      </c>
      <c r="P33" s="6">
        <f t="shared" si="31"/>
        <v>12000</v>
      </c>
      <c r="S33" s="6">
        <f t="shared" si="36"/>
        <v>8000</v>
      </c>
      <c r="T33" s="6">
        <f t="shared" si="32"/>
        <v>8000</v>
      </c>
      <c r="AG33" s="4">
        <v>1672</v>
      </c>
      <c r="AH33" s="4">
        <v>1594</v>
      </c>
    </row>
    <row r="34" customHeight="1" spans="5:34">
      <c r="E34" s="4">
        <v>200</v>
      </c>
      <c r="F34" s="4"/>
      <c r="G34" s="4">
        <v>100</v>
      </c>
      <c r="H34" s="4"/>
      <c r="M34" s="4"/>
      <c r="O34" s="4">
        <f t="shared" si="38"/>
        <v>12000</v>
      </c>
      <c r="P34" s="6">
        <f t="shared" si="31"/>
        <v>12000</v>
      </c>
      <c r="S34" s="6">
        <f t="shared" si="36"/>
        <v>8000</v>
      </c>
      <c r="T34" s="6">
        <f t="shared" si="32"/>
        <v>8000</v>
      </c>
      <c r="AG34" s="6">
        <f t="shared" ref="AG34:AH34" si="39">NPV(AD27,AG24:AG33)+AG23</f>
        <v>2169.10958544245</v>
      </c>
      <c r="AH34" s="6">
        <f t="shared" si="39"/>
        <v>1794.43996649326</v>
      </c>
    </row>
    <row r="35" customHeight="1" spans="5:20">
      <c r="E35" s="4">
        <v>200</v>
      </c>
      <c r="F35" s="4"/>
      <c r="G35" s="4">
        <v>100</v>
      </c>
      <c r="H35" s="4"/>
      <c r="M35" s="4"/>
      <c r="O35" s="4">
        <f t="shared" si="38"/>
        <v>12000</v>
      </c>
      <c r="P35" s="6">
        <f t="shared" si="31"/>
        <v>12000</v>
      </c>
      <c r="S35" s="6">
        <f t="shared" si="36"/>
        <v>8000</v>
      </c>
      <c r="T35" s="6">
        <f t="shared" si="32"/>
        <v>8000</v>
      </c>
    </row>
    <row r="36" customHeight="1" spans="5:20">
      <c r="E36" s="4">
        <v>200</v>
      </c>
      <c r="F36" s="4"/>
      <c r="G36" s="4">
        <v>100</v>
      </c>
      <c r="H36" s="4"/>
      <c r="M36" s="4"/>
      <c r="O36" s="2" t="s">
        <v>45</v>
      </c>
      <c r="P36" s="6">
        <f t="array" ref="P36">NPV(J27,P24:P35)+P23</f>
        <v>50759.0535430924</v>
      </c>
      <c r="S36" s="4" t="s">
        <v>45</v>
      </c>
      <c r="T36" s="6">
        <f t="array" ref="T36">NPV(K27,T24:T35)+T23</f>
        <v>21882.9347770746</v>
      </c>
    </row>
    <row r="37" customHeight="1" spans="5:20">
      <c r="E37" s="4">
        <v>200</v>
      </c>
      <c r="F37" s="4"/>
      <c r="G37" s="4">
        <v>100</v>
      </c>
      <c r="H37" s="4"/>
      <c r="O37" s="2" t="s">
        <v>46</v>
      </c>
      <c r="P37" s="7">
        <f>IRR(P23:P35,J27)</f>
        <v>0.510139667575007</v>
      </c>
      <c r="S37" s="2" t="s">
        <v>46</v>
      </c>
      <c r="T37" s="7">
        <f>IRR(T23:T35,K27)</f>
        <v>0.225565446866049</v>
      </c>
    </row>
    <row r="38" customHeight="1" spans="5:8">
      <c r="E38" s="4">
        <v>200</v>
      </c>
      <c r="F38" s="4"/>
      <c r="G38" s="4">
        <v>100</v>
      </c>
      <c r="H38" s="4"/>
    </row>
    <row r="39" customHeight="1" spans="5:8">
      <c r="E39" s="4">
        <v>200</v>
      </c>
      <c r="F39" s="4"/>
      <c r="G39" s="4">
        <v>100</v>
      </c>
      <c r="H39" s="4"/>
    </row>
    <row r="40" customHeight="1" spans="5:8">
      <c r="E40" s="4">
        <v>200</v>
      </c>
      <c r="F40" s="4"/>
      <c r="G40" s="4">
        <v>100</v>
      </c>
      <c r="H40" s="4"/>
    </row>
    <row r="41" customHeight="1" spans="5:8">
      <c r="E41" s="4">
        <v>200</v>
      </c>
      <c r="F41" s="4"/>
      <c r="G41" s="4">
        <v>100</v>
      </c>
      <c r="H41" s="4"/>
    </row>
    <row r="42" customHeight="1" spans="5:8">
      <c r="E42" s="4">
        <v>200</v>
      </c>
      <c r="F42" s="4"/>
      <c r="G42" s="4">
        <v>100</v>
      </c>
      <c r="H42" s="4"/>
    </row>
    <row r="43" customHeight="1" spans="5:8">
      <c r="E43" s="4">
        <v>200</v>
      </c>
      <c r="F43" s="4"/>
      <c r="G43" s="4">
        <v>100</v>
      </c>
      <c r="H43" s="4"/>
    </row>
    <row r="44" customHeight="1" spans="5:7">
      <c r="E44" s="6">
        <f t="array" ref="E44">NPV(B27,E24:E43)+E23</f>
        <v>317.16945452218</v>
      </c>
      <c r="G44" s="6">
        <f t="array" ref="G44">NPV(C27,G24:G43)+G23</f>
        <v>251.356371975856</v>
      </c>
    </row>
    <row r="46" customHeight="1" spans="1:1">
      <c r="A46" s="1" t="s">
        <v>53</v>
      </c>
    </row>
    <row r="47" customHeight="1" spans="1:24">
      <c r="A47" s="2" t="s">
        <v>54</v>
      </c>
      <c r="B47" s="4">
        <v>115000</v>
      </c>
      <c r="D47" s="4">
        <v>115000</v>
      </c>
      <c r="F47" s="2" t="s">
        <v>54</v>
      </c>
      <c r="G47" s="4">
        <v>92000</v>
      </c>
      <c r="I47" s="4">
        <v>92000</v>
      </c>
      <c r="K47" s="2" t="s">
        <v>54</v>
      </c>
      <c r="L47" s="4">
        <v>1850000</v>
      </c>
      <c r="N47" s="4">
        <v>1850000</v>
      </c>
      <c r="P47" s="2" t="s">
        <v>54</v>
      </c>
      <c r="Q47" s="4">
        <v>460000</v>
      </c>
      <c r="S47" s="4">
        <v>460000</v>
      </c>
      <c r="U47" s="2" t="s">
        <v>54</v>
      </c>
      <c r="V47" s="4">
        <v>240000</v>
      </c>
      <c r="X47" s="4">
        <f>V47</f>
        <v>240000</v>
      </c>
    </row>
    <row r="48" customHeight="1" spans="1:24">
      <c r="A48" s="2" t="s">
        <v>55</v>
      </c>
      <c r="B48" s="3">
        <v>0.15</v>
      </c>
      <c r="D48" s="6">
        <f t="shared" ref="D48:D56" si="40">D47*(1+$B$48)</f>
        <v>132250</v>
      </c>
      <c r="F48" s="2" t="s">
        <v>55</v>
      </c>
      <c r="G48" s="3">
        <v>0.12</v>
      </c>
      <c r="I48" s="6">
        <f t="shared" ref="I48:I51" si="41">I47*(1+$G$48)</f>
        <v>103040</v>
      </c>
      <c r="K48" s="2" t="s">
        <v>55</v>
      </c>
      <c r="L48" s="3">
        <v>0.09</v>
      </c>
      <c r="N48" s="6">
        <f t="shared" ref="N48:N51" si="42">N47*(1+$L$48)</f>
        <v>2016500</v>
      </c>
      <c r="P48" s="2" t="s">
        <v>55</v>
      </c>
      <c r="Q48" s="3">
        <v>0.14</v>
      </c>
      <c r="S48" s="6">
        <f t="shared" ref="S48:S54" si="43">S47*(1+$Q$48)</f>
        <v>524400</v>
      </c>
      <c r="U48" s="2" t="s">
        <v>55</v>
      </c>
      <c r="V48" s="3">
        <v>0.05</v>
      </c>
      <c r="X48" s="6">
        <f t="shared" ref="X48:X52" si="44">X47*(1+$V$48)</f>
        <v>252000</v>
      </c>
    </row>
    <row r="49" customHeight="1" spans="1:24">
      <c r="A49" s="2" t="s">
        <v>6</v>
      </c>
      <c r="B49" s="2">
        <v>10</v>
      </c>
      <c r="D49" s="6">
        <f t="shared" si="40"/>
        <v>152087.5</v>
      </c>
      <c r="F49" s="2" t="s">
        <v>6</v>
      </c>
      <c r="G49" s="2">
        <v>5</v>
      </c>
      <c r="I49" s="6">
        <f t="shared" si="41"/>
        <v>115404.8</v>
      </c>
      <c r="K49" s="2" t="s">
        <v>6</v>
      </c>
      <c r="L49" s="2">
        <v>5</v>
      </c>
      <c r="N49" s="6">
        <f t="shared" si="42"/>
        <v>2197985</v>
      </c>
      <c r="P49" s="2" t="s">
        <v>6</v>
      </c>
      <c r="Q49" s="2">
        <v>8</v>
      </c>
      <c r="S49" s="6">
        <f t="shared" si="43"/>
        <v>597816</v>
      </c>
      <c r="U49" s="2" t="s">
        <v>6</v>
      </c>
      <c r="V49" s="2">
        <v>6</v>
      </c>
      <c r="X49" s="6">
        <f t="shared" si="44"/>
        <v>264600</v>
      </c>
    </row>
    <row r="50" customHeight="1" spans="1:24">
      <c r="A50" s="2" t="s">
        <v>56</v>
      </c>
      <c r="B50" s="3">
        <v>0.1</v>
      </c>
      <c r="D50" s="6">
        <f t="shared" si="40"/>
        <v>174900.625</v>
      </c>
      <c r="F50" s="2" t="s">
        <v>56</v>
      </c>
      <c r="G50" s="8">
        <v>0.095</v>
      </c>
      <c r="I50" s="6">
        <f t="shared" si="41"/>
        <v>129253.376</v>
      </c>
      <c r="K50" s="2" t="s">
        <v>56</v>
      </c>
      <c r="L50" s="3">
        <v>0.14</v>
      </c>
      <c r="N50" s="6">
        <f t="shared" si="42"/>
        <v>2395803.65</v>
      </c>
      <c r="P50" s="2" t="s">
        <v>56</v>
      </c>
      <c r="Q50" s="8">
        <v>0.085</v>
      </c>
      <c r="S50" s="6">
        <f t="shared" si="43"/>
        <v>681510.24</v>
      </c>
      <c r="U50" s="2" t="s">
        <v>56</v>
      </c>
      <c r="V50" s="8">
        <v>0.18</v>
      </c>
      <c r="X50" s="6">
        <f t="shared" si="44"/>
        <v>277830</v>
      </c>
    </row>
    <row r="51" customHeight="1" spans="4:24">
      <c r="D51" s="6">
        <f t="shared" si="40"/>
        <v>201135.71875</v>
      </c>
      <c r="I51" s="6">
        <f t="shared" si="41"/>
        <v>144763.78112</v>
      </c>
      <c r="N51" s="6">
        <f t="shared" si="42"/>
        <v>2611425.9785</v>
      </c>
      <c r="S51" s="6">
        <f t="shared" si="43"/>
        <v>776921.6736</v>
      </c>
      <c r="X51" s="6">
        <f t="shared" si="44"/>
        <v>291721.5</v>
      </c>
    </row>
    <row r="52" customHeight="1" spans="4:24">
      <c r="D52" s="6">
        <f t="shared" si="40"/>
        <v>231306.0765625</v>
      </c>
      <c r="I52" s="6">
        <f t="array" ref="I52">NPV(G50,I47:I51)</f>
        <v>439716.549680794</v>
      </c>
      <c r="N52" s="6">
        <f t="array" ref="N52">NPV(L50,N47:N51)</f>
        <v>7432816.46888809</v>
      </c>
      <c r="S52" s="6">
        <f t="shared" si="43"/>
        <v>885690.707904</v>
      </c>
      <c r="X52" s="6">
        <f t="shared" si="44"/>
        <v>306307.575</v>
      </c>
    </row>
    <row r="53" customHeight="1" spans="4:24">
      <c r="D53" s="6">
        <f t="shared" si="40"/>
        <v>266001.988046875</v>
      </c>
      <c r="S53" s="6">
        <f t="shared" si="43"/>
        <v>1009687.40701056</v>
      </c>
      <c r="X53" s="6">
        <f t="array" ref="X53">NPV(V50,X47:X52)</f>
        <v>929697.801594606</v>
      </c>
    </row>
    <row r="54" customHeight="1" spans="4:19">
      <c r="D54" s="6">
        <f t="shared" si="40"/>
        <v>305902.286253906</v>
      </c>
      <c r="S54" s="6">
        <f t="shared" si="43"/>
        <v>1151043.64399204</v>
      </c>
    </row>
    <row r="55" customHeight="1" spans="4:19">
      <c r="D55" s="6">
        <f t="shared" si="40"/>
        <v>351787.629191992</v>
      </c>
      <c r="S55" s="6">
        <f t="array" ref="S55">NPV(Q50,S47:S54)</f>
        <v>4058492.99260758</v>
      </c>
    </row>
    <row r="56" customHeight="1" spans="4:4">
      <c r="D56" s="6">
        <f t="shared" si="40"/>
        <v>404555.773570791</v>
      </c>
    </row>
    <row r="57" customHeight="1" spans="4:4">
      <c r="D57" s="6">
        <f t="array" ref="D57">NPV(B50,D47:D56)</f>
        <v>1287396.56510441</v>
      </c>
    </row>
    <row r="59" customHeight="1" spans="1:1">
      <c r="A59" s="1" t="s">
        <v>57</v>
      </c>
    </row>
    <row r="60" customHeight="1" spans="1:30">
      <c r="A60" s="2" t="s">
        <v>9</v>
      </c>
      <c r="B60" s="4">
        <v>1800000</v>
      </c>
      <c r="E60" s="4">
        <v>-1800000</v>
      </c>
      <c r="G60" s="2" t="s">
        <v>58</v>
      </c>
      <c r="H60" s="2" t="s">
        <v>59</v>
      </c>
      <c r="I60" s="2" t="s">
        <v>60</v>
      </c>
      <c r="K60" s="2" t="s">
        <v>9</v>
      </c>
      <c r="L60" s="4">
        <v>1350000</v>
      </c>
      <c r="O60" s="4">
        <v>-1350000</v>
      </c>
      <c r="Q60" s="2" t="s">
        <v>9</v>
      </c>
      <c r="R60" s="4">
        <v>980000</v>
      </c>
      <c r="T60" s="4">
        <f>-R60</f>
        <v>-980000</v>
      </c>
      <c r="V60" s="2" t="s">
        <v>58</v>
      </c>
      <c r="W60" s="2" t="s">
        <v>59</v>
      </c>
      <c r="X60" s="2" t="s">
        <v>60</v>
      </c>
      <c r="Z60" s="2" t="s">
        <v>61</v>
      </c>
      <c r="AA60" s="4">
        <v>2000000</v>
      </c>
      <c r="AC60" s="2" t="s">
        <v>58</v>
      </c>
      <c r="AD60" s="2" t="s">
        <v>59</v>
      </c>
    </row>
    <row r="61" customHeight="1" spans="1:30">
      <c r="A61" s="2" t="s">
        <v>52</v>
      </c>
      <c r="B61" s="4">
        <v>310000</v>
      </c>
      <c r="E61" s="4">
        <v>310000</v>
      </c>
      <c r="G61" s="2">
        <v>0</v>
      </c>
      <c r="H61" s="4">
        <v>-210000</v>
      </c>
      <c r="I61" s="4">
        <v>-360000</v>
      </c>
      <c r="K61" s="2" t="s">
        <v>52</v>
      </c>
      <c r="L61" s="4">
        <v>275000</v>
      </c>
      <c r="O61" s="4">
        <v>275000</v>
      </c>
      <c r="Q61" s="2" t="s">
        <v>52</v>
      </c>
      <c r="R61" s="4">
        <v>185000</v>
      </c>
      <c r="T61" s="4">
        <f t="shared" ref="T61:T70" si="45">$R$61</f>
        <v>185000</v>
      </c>
      <c r="V61" s="2">
        <v>0</v>
      </c>
      <c r="W61" s="4">
        <v>-18000</v>
      </c>
      <c r="X61" s="4">
        <v>-28000</v>
      </c>
      <c r="Z61" s="2" t="s">
        <v>50</v>
      </c>
      <c r="AA61" s="4">
        <v>380000</v>
      </c>
      <c r="AC61" s="2">
        <v>0</v>
      </c>
      <c r="AD61" s="4">
        <f>-AA60</f>
        <v>-2000000</v>
      </c>
    </row>
    <row r="62" customHeight="1" spans="1:30">
      <c r="A62" s="2" t="s">
        <v>6</v>
      </c>
      <c r="B62" s="2">
        <v>10</v>
      </c>
      <c r="E62" s="4">
        <v>310000</v>
      </c>
      <c r="G62" s="2">
        <v>1</v>
      </c>
      <c r="H62" s="6">
        <f t="shared" ref="H62:H71" si="46">160000-72000</f>
        <v>88000</v>
      </c>
      <c r="I62" s="6">
        <f t="shared" ref="I62:I72" si="47">210000-82000</f>
        <v>128000</v>
      </c>
      <c r="K62" s="2" t="s">
        <v>6</v>
      </c>
      <c r="L62" s="2">
        <v>10</v>
      </c>
      <c r="O62" s="4">
        <v>275000</v>
      </c>
      <c r="Q62" s="2" t="s">
        <v>6</v>
      </c>
      <c r="R62" s="2">
        <v>10</v>
      </c>
      <c r="T62" s="4">
        <f t="shared" si="45"/>
        <v>185000</v>
      </c>
      <c r="V62" s="2">
        <v>1</v>
      </c>
      <c r="W62" s="4">
        <v>-2860</v>
      </c>
      <c r="X62" s="4">
        <v>-1960</v>
      </c>
      <c r="Z62" s="2" t="s">
        <v>62</v>
      </c>
      <c r="AA62" s="2">
        <v>10</v>
      </c>
      <c r="AC62" s="2">
        <v>1</v>
      </c>
      <c r="AD62" s="4">
        <f t="shared" ref="AD62:AD71" si="48">$AA$61</f>
        <v>380000</v>
      </c>
    </row>
    <row r="63" customHeight="1" spans="1:30">
      <c r="A63" s="2" t="s">
        <v>56</v>
      </c>
      <c r="B63" s="3">
        <v>0.13</v>
      </c>
      <c r="E63" s="4">
        <v>310000</v>
      </c>
      <c r="G63" s="2">
        <v>2</v>
      </c>
      <c r="H63" s="6">
        <f t="shared" si="46"/>
        <v>88000</v>
      </c>
      <c r="I63" s="6">
        <f t="shared" si="47"/>
        <v>128000</v>
      </c>
      <c r="K63" s="2" t="s">
        <v>56</v>
      </c>
      <c r="L63" s="3">
        <v>0.16</v>
      </c>
      <c r="O63" s="4">
        <v>275000</v>
      </c>
      <c r="Q63" s="2" t="s">
        <v>56</v>
      </c>
      <c r="R63" s="3">
        <v>0.1</v>
      </c>
      <c r="T63" s="4">
        <f t="shared" si="45"/>
        <v>185000</v>
      </c>
      <c r="V63" s="2">
        <v>2</v>
      </c>
      <c r="W63" s="4">
        <v>-2860</v>
      </c>
      <c r="X63" s="4">
        <v>-1960</v>
      </c>
      <c r="Z63" s="2" t="s">
        <v>41</v>
      </c>
      <c r="AA63" s="3">
        <v>0.12</v>
      </c>
      <c r="AC63" s="2">
        <v>2</v>
      </c>
      <c r="AD63" s="4">
        <f t="shared" si="48"/>
        <v>380000</v>
      </c>
    </row>
    <row r="64" customHeight="1" spans="5:30">
      <c r="E64" s="4">
        <v>310000</v>
      </c>
      <c r="G64" s="2">
        <v>3</v>
      </c>
      <c r="H64" s="6">
        <f t="shared" si="46"/>
        <v>88000</v>
      </c>
      <c r="I64" s="6">
        <f t="shared" si="47"/>
        <v>128000</v>
      </c>
      <c r="O64" s="4">
        <v>275000</v>
      </c>
      <c r="T64" s="4">
        <f t="shared" si="45"/>
        <v>185000</v>
      </c>
      <c r="V64" s="2">
        <v>3</v>
      </c>
      <c r="W64" s="4">
        <v>-2860</v>
      </c>
      <c r="X64" s="4">
        <v>-1960</v>
      </c>
      <c r="AA64" s="4"/>
      <c r="AC64" s="2">
        <v>3</v>
      </c>
      <c r="AD64" s="4">
        <f t="shared" si="48"/>
        <v>380000</v>
      </c>
    </row>
    <row r="65" customHeight="1" spans="5:30">
      <c r="E65" s="4">
        <v>310000</v>
      </c>
      <c r="G65" s="2">
        <v>4</v>
      </c>
      <c r="H65" s="6">
        <f t="shared" si="46"/>
        <v>88000</v>
      </c>
      <c r="I65" s="6">
        <f t="shared" si="47"/>
        <v>128000</v>
      </c>
      <c r="O65" s="4">
        <v>275000</v>
      </c>
      <c r="T65" s="4">
        <f t="shared" si="45"/>
        <v>185000</v>
      </c>
      <c r="V65" s="2">
        <v>4</v>
      </c>
      <c r="W65" s="4">
        <v>-2860</v>
      </c>
      <c r="X65" s="4">
        <v>-1960</v>
      </c>
      <c r="AA65" s="4"/>
      <c r="AC65" s="2">
        <v>4</v>
      </c>
      <c r="AD65" s="4">
        <f t="shared" si="48"/>
        <v>380000</v>
      </c>
    </row>
    <row r="66" customHeight="1" spans="5:30">
      <c r="E66" s="4">
        <v>310000</v>
      </c>
      <c r="G66" s="2">
        <v>5</v>
      </c>
      <c r="H66" s="6">
        <f t="shared" si="46"/>
        <v>88000</v>
      </c>
      <c r="I66" s="6">
        <f t="shared" si="47"/>
        <v>128000</v>
      </c>
      <c r="O66" s="4">
        <v>275000</v>
      </c>
      <c r="T66" s="4">
        <f t="shared" si="45"/>
        <v>185000</v>
      </c>
      <c r="V66" s="2">
        <v>5</v>
      </c>
      <c r="W66" s="4">
        <v>-2860</v>
      </c>
      <c r="X66" s="4">
        <v>-1960</v>
      </c>
      <c r="AA66" s="4"/>
      <c r="AC66" s="2">
        <v>5</v>
      </c>
      <c r="AD66" s="4">
        <f t="shared" si="48"/>
        <v>380000</v>
      </c>
    </row>
    <row r="67" customHeight="1" spans="5:30">
      <c r="E67" s="4">
        <v>310000</v>
      </c>
      <c r="G67" s="2">
        <v>6</v>
      </c>
      <c r="H67" s="6">
        <f t="shared" si="46"/>
        <v>88000</v>
      </c>
      <c r="I67" s="6">
        <f t="shared" si="47"/>
        <v>128000</v>
      </c>
      <c r="O67" s="4">
        <v>275000</v>
      </c>
      <c r="T67" s="4">
        <f t="shared" si="45"/>
        <v>185000</v>
      </c>
      <c r="V67" s="2">
        <v>6</v>
      </c>
      <c r="W67" s="4">
        <v>-2860</v>
      </c>
      <c r="X67" s="4">
        <v>-1960</v>
      </c>
      <c r="AA67" s="4"/>
      <c r="AC67" s="2">
        <v>6</v>
      </c>
      <c r="AD67" s="4">
        <f t="shared" si="48"/>
        <v>380000</v>
      </c>
    </row>
    <row r="68" customHeight="1" spans="5:30">
      <c r="E68" s="4">
        <v>310000</v>
      </c>
      <c r="G68" s="2">
        <v>7</v>
      </c>
      <c r="H68" s="6">
        <f t="shared" si="46"/>
        <v>88000</v>
      </c>
      <c r="I68" s="6">
        <f t="shared" si="47"/>
        <v>128000</v>
      </c>
      <c r="O68" s="4">
        <v>275000</v>
      </c>
      <c r="T68" s="4">
        <f t="shared" si="45"/>
        <v>185000</v>
      </c>
      <c r="V68" s="2">
        <v>7</v>
      </c>
      <c r="W68" s="4">
        <v>-2860</v>
      </c>
      <c r="X68" s="4">
        <v>-1960</v>
      </c>
      <c r="AA68" s="4"/>
      <c r="AC68" s="2">
        <v>7</v>
      </c>
      <c r="AD68" s="4">
        <f t="shared" si="48"/>
        <v>380000</v>
      </c>
    </row>
    <row r="69" customHeight="1" spans="5:30">
      <c r="E69" s="4">
        <v>310000</v>
      </c>
      <c r="G69" s="2">
        <v>8</v>
      </c>
      <c r="H69" s="6">
        <f t="shared" si="46"/>
        <v>88000</v>
      </c>
      <c r="I69" s="6">
        <f t="shared" si="47"/>
        <v>128000</v>
      </c>
      <c r="O69" s="4">
        <v>275000</v>
      </c>
      <c r="T69" s="4">
        <f t="shared" si="45"/>
        <v>185000</v>
      </c>
      <c r="V69" s="2">
        <v>8</v>
      </c>
      <c r="W69" s="4">
        <v>-2860</v>
      </c>
      <c r="X69" s="4">
        <v>-1960</v>
      </c>
      <c r="AA69" s="4"/>
      <c r="AC69" s="2">
        <v>8</v>
      </c>
      <c r="AD69" s="4">
        <f t="shared" si="48"/>
        <v>380000</v>
      </c>
    </row>
    <row r="70" customHeight="1" spans="3:30">
      <c r="C70" s="6">
        <f>PMT(B63,B62,E60)*-1</f>
        <v>-331721.200491084</v>
      </c>
      <c r="E70" s="4">
        <v>310000</v>
      </c>
      <c r="G70" s="2">
        <v>9</v>
      </c>
      <c r="H70" s="6">
        <f t="shared" si="46"/>
        <v>88000</v>
      </c>
      <c r="I70" s="6">
        <f t="shared" si="47"/>
        <v>128000</v>
      </c>
      <c r="M70" s="6">
        <f>PMT(L63,L62,O60)*-1</f>
        <v>-279316.462139881</v>
      </c>
      <c r="O70" s="4">
        <v>275000</v>
      </c>
      <c r="T70" s="4">
        <f t="shared" si="45"/>
        <v>185000</v>
      </c>
      <c r="V70" s="2">
        <v>9</v>
      </c>
      <c r="W70" s="4">
        <v>-2860</v>
      </c>
      <c r="X70" s="4">
        <v>-1960</v>
      </c>
      <c r="AA70" s="4"/>
      <c r="AC70" s="2">
        <v>9</v>
      </c>
      <c r="AD70" s="4">
        <f t="shared" si="48"/>
        <v>380000</v>
      </c>
    </row>
    <row r="71" customHeight="1" spans="3:30">
      <c r="C71" s="6">
        <f>C70+B61</f>
        <v>-21721.2004910836</v>
      </c>
      <c r="E71" s="6">
        <f t="array" ref="E71">NPV(B63,E61:E70)+E60</f>
        <v>-117864.522454605</v>
      </c>
      <c r="G71" s="2">
        <v>10</v>
      </c>
      <c r="H71" s="6">
        <f t="shared" si="46"/>
        <v>88000</v>
      </c>
      <c r="I71" s="6">
        <f t="shared" si="47"/>
        <v>128000</v>
      </c>
      <c r="M71" s="6">
        <f>M70+L61</f>
        <v>-4316.46213988127</v>
      </c>
      <c r="O71" s="6">
        <f t="array" ref="O71">NPV(L63,O61:O70)+O60</f>
        <v>-20862.4434241951</v>
      </c>
      <c r="S71" s="2" t="s">
        <v>45</v>
      </c>
      <c r="T71" s="6">
        <f t="array" ref="T71">NPV(R63,T61:T70)+T60</f>
        <v>156744.914555366</v>
      </c>
      <c r="V71" s="2">
        <v>10</v>
      </c>
      <c r="W71" s="4">
        <v>-2860</v>
      </c>
      <c r="X71" s="4">
        <v>-1960</v>
      </c>
      <c r="AA71" s="4"/>
      <c r="AC71" s="2">
        <v>10</v>
      </c>
      <c r="AD71" s="4">
        <f t="shared" si="48"/>
        <v>380000</v>
      </c>
    </row>
    <row r="72" customHeight="1" spans="7:30">
      <c r="G72" s="2">
        <v>11</v>
      </c>
      <c r="H72" s="6">
        <f t="array" ref="H72">NPV(15%,H62:H71)+H61</f>
        <v>231651.639075172</v>
      </c>
      <c r="I72" s="6">
        <f t="shared" si="47"/>
        <v>128000</v>
      </c>
      <c r="S72" s="2" t="s">
        <v>63</v>
      </c>
      <c r="T72" s="6">
        <f>-PMT(R63,R62,T71)</f>
        <v>25509.5130151385</v>
      </c>
      <c r="V72" s="2">
        <v>11</v>
      </c>
      <c r="W72" s="4">
        <v>-2860</v>
      </c>
      <c r="X72" s="4">
        <v>-1960</v>
      </c>
      <c r="AA72" s="4"/>
      <c r="AC72" s="2" t="s">
        <v>45</v>
      </c>
      <c r="AD72" s="6">
        <f t="array" ref="AD72">NPV(AA63,AD62:AD71)+AD61</f>
        <v>147084.750796128</v>
      </c>
    </row>
    <row r="73" customHeight="1" spans="7:30">
      <c r="G73" s="2">
        <v>12</v>
      </c>
      <c r="H73" s="6">
        <f>-PMT(15%,10,H72)</f>
        <v>46157.0668713072</v>
      </c>
      <c r="I73" s="6">
        <f>210000-82000+50000</f>
        <v>178000</v>
      </c>
      <c r="S73" s="2" t="s">
        <v>46</v>
      </c>
      <c r="T73" s="7">
        <f>IRR(T60:T70,R63)</f>
        <v>0.136061234229299</v>
      </c>
      <c r="V73" s="2">
        <v>12</v>
      </c>
      <c r="W73" s="4">
        <v>-2860</v>
      </c>
      <c r="X73" s="4">
        <v>-1960</v>
      </c>
      <c r="AA73" s="4"/>
      <c r="AC73" s="2" t="s">
        <v>63</v>
      </c>
      <c r="AD73" s="6">
        <f>-PMT(AA63,AA62,AD72)</f>
        <v>26031.6716803117</v>
      </c>
    </row>
    <row r="74" customHeight="1" spans="9:30">
      <c r="I74" s="6">
        <f t="array" ref="I74">NPV(15%,I62:I73)+I61</f>
        <v>343184.589350045</v>
      </c>
      <c r="V74" s="2">
        <v>13</v>
      </c>
      <c r="W74" s="4">
        <v>-2860</v>
      </c>
      <c r="X74" s="4">
        <v>-1960</v>
      </c>
      <c r="AA74" s="4"/>
      <c r="AD74" s="3"/>
    </row>
    <row r="75" customHeight="1" spans="9:24">
      <c r="I75" s="6">
        <f>-PMT(15%,12,I74)</f>
        <v>63310.9593994398</v>
      </c>
      <c r="V75" s="2">
        <v>14</v>
      </c>
      <c r="X75" s="4">
        <v>-1960</v>
      </c>
    </row>
    <row r="76" customHeight="1" spans="22:24">
      <c r="V76" s="2">
        <v>15</v>
      </c>
      <c r="X76" s="4">
        <v>-1960</v>
      </c>
    </row>
    <row r="77" customHeight="1" spans="1:24">
      <c r="A77" s="1" t="s">
        <v>64</v>
      </c>
      <c r="V77" s="2">
        <v>16</v>
      </c>
      <c r="X77" s="4">
        <v>-1960</v>
      </c>
    </row>
    <row r="78" customHeight="1" spans="1:24">
      <c r="A78" s="2" t="s">
        <v>54</v>
      </c>
      <c r="B78" s="4">
        <v>1850000</v>
      </c>
      <c r="D78" s="9">
        <f>(1+B81)^2-1</f>
        <v>0.2544</v>
      </c>
      <c r="G78" s="4"/>
      <c r="V78" s="2">
        <v>17</v>
      </c>
      <c r="X78" s="4">
        <v>-1960</v>
      </c>
    </row>
    <row r="79" customHeight="1" spans="1:24">
      <c r="A79" s="2" t="s">
        <v>65</v>
      </c>
      <c r="B79" s="4">
        <v>95000</v>
      </c>
      <c r="D79" s="6">
        <f>B79/D78</f>
        <v>373427.672955975</v>
      </c>
      <c r="G79" s="4"/>
      <c r="V79" s="2">
        <v>18</v>
      </c>
      <c r="X79" s="4">
        <v>-1960</v>
      </c>
    </row>
    <row r="80" customHeight="1" spans="1:24">
      <c r="A80" s="2" t="s">
        <v>6</v>
      </c>
      <c r="B80" s="2" t="s">
        <v>66</v>
      </c>
      <c r="D80" s="6">
        <f>B78+D79</f>
        <v>2223427.67295597</v>
      </c>
      <c r="V80" s="2" t="s">
        <v>45</v>
      </c>
      <c r="W80" s="6">
        <f t="array" ref="W80">NPV(W82,W62:W74)+W61</f>
        <v>-38315.5987395307</v>
      </c>
      <c r="X80" s="6">
        <f t="array" ref="X80">NPV(X82,X62:X79)+X61</f>
        <v>-44074.7677177794</v>
      </c>
    </row>
    <row r="81" customHeight="1" spans="1:24">
      <c r="A81" s="2" t="s">
        <v>67</v>
      </c>
      <c r="B81" s="3">
        <v>0.12</v>
      </c>
      <c r="G81" s="3"/>
      <c r="V81" s="2" t="s">
        <v>63</v>
      </c>
      <c r="W81" s="6">
        <f>-PMT(W82,V74,W80)</f>
        <v>-5394.01342781144</v>
      </c>
      <c r="X81" s="6">
        <f>-PMT(X82,V79,X80)</f>
        <v>-5374.04622222318</v>
      </c>
    </row>
    <row r="82" customHeight="1" spans="22:27">
      <c r="V82" s="2" t="s">
        <v>41</v>
      </c>
      <c r="W82" s="3">
        <v>0.1</v>
      </c>
      <c r="X82" s="3">
        <v>0.1</v>
      </c>
      <c r="AA82" s="3"/>
    </row>
    <row r="83" customHeight="1" spans="1:1">
      <c r="A83" s="1" t="s">
        <v>68</v>
      </c>
    </row>
    <row r="84" customHeight="1" spans="1:4">
      <c r="A84" s="2" t="s">
        <v>69</v>
      </c>
      <c r="B84" s="4">
        <v>95000</v>
      </c>
      <c r="D84" s="6">
        <f>B84/B86</f>
        <v>678571.428571429</v>
      </c>
    </row>
    <row r="85" customHeight="1" spans="1:4">
      <c r="A85" s="2" t="s">
        <v>6</v>
      </c>
      <c r="B85" s="2">
        <v>5</v>
      </c>
      <c r="D85" s="6">
        <f>D84+B87</f>
        <v>203571.428571429</v>
      </c>
    </row>
    <row r="86" customHeight="1" spans="1:4">
      <c r="A86" s="2" t="s">
        <v>5</v>
      </c>
      <c r="B86" s="3">
        <v>0.14</v>
      </c>
      <c r="D86" s="6">
        <f>B84/B86</f>
        <v>678571.428571429</v>
      </c>
    </row>
    <row r="87" customHeight="1" spans="1:5">
      <c r="A87" s="2" t="s">
        <v>70</v>
      </c>
      <c r="B87" s="6">
        <f>B84*B85*-1</f>
        <v>-475000</v>
      </c>
      <c r="D87" s="6">
        <f>D86/(1+B86)^B85</f>
        <v>352428.736529875</v>
      </c>
      <c r="E87" s="6">
        <f>PV(B86,B85,,-D86)</f>
        <v>352428.736529875</v>
      </c>
    </row>
    <row r="89" customHeight="1" spans="1:1">
      <c r="A89" s="1" t="s">
        <v>71</v>
      </c>
    </row>
    <row r="90" customHeight="1" spans="1:12">
      <c r="A90" s="9">
        <f>2500000/9.5%</f>
        <v>26315789.4736842</v>
      </c>
      <c r="C90" s="2" t="s">
        <v>72</v>
      </c>
      <c r="D90" s="2">
        <v>1.35</v>
      </c>
      <c r="F90" s="10">
        <f>1.35/(0.11-0.045)</f>
        <v>20.7692307692308</v>
      </c>
      <c r="H90" s="9">
        <f>95000/14%</f>
        <v>678571.428571429</v>
      </c>
      <c r="J90" s="2" t="s">
        <v>73</v>
      </c>
      <c r="K90" s="4">
        <v>700000</v>
      </c>
      <c r="L90" s="6">
        <f>K90/K92</f>
        <v>5833333.33333333</v>
      </c>
    </row>
    <row r="91" customHeight="1" spans="1:12">
      <c r="A91" s="6">
        <f>PV(9.5%,2,,-A90)</f>
        <v>21947657.0327426</v>
      </c>
      <c r="C91" s="2" t="s">
        <v>27</v>
      </c>
      <c r="D91" s="3">
        <v>0.11</v>
      </c>
      <c r="H91" s="6">
        <f>PV(14%,5,,-H90)</f>
        <v>352428.736529875</v>
      </c>
      <c r="J91" s="2" t="s">
        <v>62</v>
      </c>
      <c r="K91" s="2">
        <v>3</v>
      </c>
      <c r="L91" s="6">
        <f>PV(K92,K91,,-L90)</f>
        <v>4152051.44557823</v>
      </c>
    </row>
    <row r="92" customHeight="1" spans="3:11">
      <c r="C92" s="2" t="s">
        <v>28</v>
      </c>
      <c r="D92" s="5">
        <v>0.045</v>
      </c>
      <c r="J92" s="2" t="s">
        <v>74</v>
      </c>
      <c r="K92" s="3">
        <v>0.12</v>
      </c>
    </row>
    <row r="94" customHeight="1" spans="1:22">
      <c r="A94" s="1" t="s">
        <v>75</v>
      </c>
      <c r="N94" s="2" t="s">
        <v>58</v>
      </c>
      <c r="O94" s="2" t="s">
        <v>48</v>
      </c>
      <c r="P94" s="2" t="s">
        <v>49</v>
      </c>
      <c r="Q94" s="2" t="s">
        <v>76</v>
      </c>
      <c r="S94" s="2" t="s">
        <v>58</v>
      </c>
      <c r="T94" s="2" t="s">
        <v>48</v>
      </c>
      <c r="U94" s="2" t="s">
        <v>49</v>
      </c>
      <c r="V94" s="2" t="s">
        <v>76</v>
      </c>
    </row>
    <row r="95" customHeight="1" spans="1:22">
      <c r="A95" s="4">
        <v>-100</v>
      </c>
      <c r="B95" s="4">
        <v>-90</v>
      </c>
      <c r="F95" s="4">
        <v>-1000</v>
      </c>
      <c r="G95" s="4">
        <v>-750</v>
      </c>
      <c r="H95" s="6">
        <f t="shared" ref="H95:H97" si="49">F95-G95</f>
        <v>-250</v>
      </c>
      <c r="J95" s="4">
        <v>-100</v>
      </c>
      <c r="K95" s="4">
        <v>-100</v>
      </c>
      <c r="L95" s="6">
        <f t="shared" ref="L95:L97" si="50">J95-K95</f>
        <v>0</v>
      </c>
      <c r="N95" s="2">
        <v>0</v>
      </c>
      <c r="O95" s="4">
        <v>-275</v>
      </c>
      <c r="P95" s="4">
        <v>-210</v>
      </c>
      <c r="Q95" s="6">
        <f t="shared" ref="Q95:Q97" si="51">O95-P95</f>
        <v>-65</v>
      </c>
      <c r="S95" s="2">
        <v>0</v>
      </c>
      <c r="T95" s="4">
        <v>-300</v>
      </c>
      <c r="U95" s="4">
        <v>-200</v>
      </c>
      <c r="V95" s="6">
        <f t="shared" ref="V95:V97" si="52">T95-U95</f>
        <v>-100</v>
      </c>
    </row>
    <row r="96" customHeight="1" spans="1:22">
      <c r="A96" s="4">
        <v>25</v>
      </c>
      <c r="B96" s="4">
        <v>70</v>
      </c>
      <c r="F96" s="4">
        <v>800</v>
      </c>
      <c r="G96" s="4">
        <v>650</v>
      </c>
      <c r="H96" s="6">
        <f t="shared" si="49"/>
        <v>150</v>
      </c>
      <c r="J96" s="4">
        <v>120</v>
      </c>
      <c r="K96" s="4">
        <v>40</v>
      </c>
      <c r="L96" s="6">
        <f t="shared" si="50"/>
        <v>80</v>
      </c>
      <c r="N96" s="2">
        <v>1</v>
      </c>
      <c r="O96" s="4">
        <v>225</v>
      </c>
      <c r="P96" s="4">
        <v>190</v>
      </c>
      <c r="Q96" s="6">
        <f t="shared" si="51"/>
        <v>35</v>
      </c>
      <c r="S96" s="2">
        <v>1</v>
      </c>
      <c r="T96" s="4">
        <v>210</v>
      </c>
      <c r="U96" s="4">
        <v>150</v>
      </c>
      <c r="V96" s="6">
        <f t="shared" si="52"/>
        <v>60</v>
      </c>
    </row>
    <row r="97" customHeight="1" spans="1:22">
      <c r="A97" s="4">
        <v>125</v>
      </c>
      <c r="B97" s="4">
        <v>45</v>
      </c>
      <c r="F97" s="4">
        <v>650</v>
      </c>
      <c r="G97" s="4">
        <v>500</v>
      </c>
      <c r="H97" s="6">
        <f t="shared" si="49"/>
        <v>150</v>
      </c>
      <c r="J97" s="4">
        <v>30</v>
      </c>
      <c r="K97" s="4">
        <v>140</v>
      </c>
      <c r="L97" s="6">
        <f t="shared" si="50"/>
        <v>-110</v>
      </c>
      <c r="N97" s="2">
        <v>2</v>
      </c>
      <c r="O97" s="4">
        <v>142</v>
      </c>
      <c r="P97" s="4">
        <v>100</v>
      </c>
      <c r="Q97" s="6">
        <f t="shared" si="51"/>
        <v>42</v>
      </c>
      <c r="S97" s="2">
        <v>2</v>
      </c>
      <c r="T97" s="4">
        <v>200</v>
      </c>
      <c r="U97" s="4">
        <v>120</v>
      </c>
      <c r="V97" s="6">
        <f t="shared" si="52"/>
        <v>80</v>
      </c>
    </row>
    <row r="98" customHeight="1" spans="1:22">
      <c r="A98" s="6">
        <f t="array" ref="A98">NPV(D98,A96:A97)+A95</f>
        <v>-14.5075550270869</v>
      </c>
      <c r="B98" s="6">
        <f t="array" ref="B98">NPV(D98,B96:B97)+B95</f>
        <v>-14.5078686149118</v>
      </c>
      <c r="D98" s="5">
        <v>0.3642</v>
      </c>
      <c r="F98" s="6">
        <f t="array" ref="F98">NPV(H98,F96:F97)+F95</f>
        <v>215.998929906285</v>
      </c>
      <c r="G98" s="6">
        <f t="array" ref="G98">NPV(H98,G96:G97)+G95</f>
        <v>215.998929906285</v>
      </c>
      <c r="H98" s="7">
        <f>IRR(H95:H97)</f>
        <v>0.130662386291807</v>
      </c>
      <c r="I98" s="5"/>
      <c r="J98" s="6">
        <f>NPV(L98,J96:J97)+J95</f>
        <v>3.14049586776859</v>
      </c>
      <c r="K98" s="6">
        <f t="array" ref="K98">NPV(L98,K96:K97)+K95</f>
        <v>3.14049586776859</v>
      </c>
      <c r="L98" s="7">
        <f>IRR(L95:L97)</f>
        <v>0.375</v>
      </c>
      <c r="N98" s="2" t="s">
        <v>77</v>
      </c>
      <c r="O98" s="6">
        <f t="array" ref="O98">NPV(Q98,O96:O97)+O95</f>
        <v>40.2594992137152</v>
      </c>
      <c r="P98" s="6">
        <f t="array" ref="P98">NPV(Q98,P96:P97)+P95</f>
        <v>40.2594992137152</v>
      </c>
      <c r="Q98" s="7">
        <f>IRR(Q95:Q97)</f>
        <v>0.11695658177539</v>
      </c>
      <c r="S98" s="2" t="s">
        <v>77</v>
      </c>
      <c r="T98" s="6">
        <f t="array" ref="T98">NPV(V98,T96:T97)+T95</f>
        <v>-1.74514150957549</v>
      </c>
      <c r="U98" s="6">
        <f t="array" ref="U98">NPV(V98,U96:U97)+U95</f>
        <v>-1.74514150957549</v>
      </c>
      <c r="V98" s="7">
        <f>IRR(V95:V97)</f>
        <v>0.24339811320566</v>
      </c>
    </row>
    <row r="123" customHeight="1" spans="7:8">
      <c r="G123" s="4"/>
      <c r="H123" s="4"/>
    </row>
    <row r="124" customHeight="1" spans="7:8">
      <c r="G124" s="4"/>
      <c r="H124" s="4"/>
    </row>
    <row r="125" customHeight="1" spans="7:8">
      <c r="G125" s="4"/>
      <c r="H125" s="4"/>
    </row>
    <row r="126" customHeight="1" spans="7:8">
      <c r="G126" s="4"/>
      <c r="H126" s="4"/>
    </row>
    <row r="127" customHeight="1" spans="7:8">
      <c r="G127" s="4"/>
      <c r="H127" s="4"/>
    </row>
    <row r="128" customHeight="1" spans="7:8">
      <c r="G128" s="4"/>
      <c r="H128" s="4"/>
    </row>
    <row r="129" customHeight="1" spans="7:8">
      <c r="G129" s="4"/>
      <c r="H129" s="4"/>
    </row>
    <row r="130" customHeight="1" spans="7:8">
      <c r="G130" s="4"/>
      <c r="H130" s="4"/>
    </row>
    <row r="131" customHeight="1" spans="7:8">
      <c r="G131" s="4"/>
      <c r="H131" s="4"/>
    </row>
    <row r="132" customHeight="1" spans="7:8">
      <c r="G132" s="4"/>
      <c r="H132" s="4"/>
    </row>
    <row r="133" customHeight="1" spans="7:8">
      <c r="G133" s="4"/>
      <c r="H133" s="4"/>
    </row>
    <row r="134" customHeight="1" spans="7:8">
      <c r="G134" s="4"/>
      <c r="H134" s="4"/>
    </row>
    <row r="135" customHeight="1" spans="7:8">
      <c r="G135" s="4"/>
      <c r="H135" s="4"/>
    </row>
    <row r="136" customHeight="1" spans="7:8">
      <c r="G136" s="4"/>
      <c r="H136" s="4"/>
    </row>
    <row r="137" customHeight="1" spans="5:8">
      <c r="E137" s="4"/>
      <c r="F137" s="4"/>
      <c r="G137" s="4"/>
      <c r="H137" s="4"/>
    </row>
    <row r="183" customHeight="1" spans="5:6">
      <c r="E183" s="4"/>
      <c r="F183" s="4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R60"/>
  <sheetViews>
    <sheetView workbookViewId="0">
      <selection activeCell="A1" sqref="A1"/>
    </sheetView>
  </sheetViews>
  <sheetFormatPr defaultColWidth="12.6285714285714" defaultRowHeight="15.75" customHeight="1"/>
  <cols>
    <col min="3" max="3" width="13.6285714285714" customWidth="1"/>
    <col min="6" max="6" width="17.5047619047619" customWidth="1"/>
    <col min="9" max="9" width="13.3809523809524" customWidth="1"/>
    <col min="10" max="10" width="13.6285714285714" customWidth="1"/>
    <col min="13" max="13" width="13.3809523809524" customWidth="1"/>
    <col min="14" max="14" width="18.247619047619" customWidth="1"/>
    <col min="17" max="17" width="13.3809523809524" customWidth="1"/>
    <col min="18" max="18" width="13.6285714285714" customWidth="1"/>
  </cols>
  <sheetData>
    <row r="1" customHeight="1" spans="1:1">
      <c r="A1" s="1" t="s">
        <v>78</v>
      </c>
    </row>
    <row r="2" customHeight="1" spans="1:16">
      <c r="A2" s="1" t="s">
        <v>79</v>
      </c>
      <c r="H2" s="1" t="s">
        <v>80</v>
      </c>
      <c r="L2" s="1" t="s">
        <v>81</v>
      </c>
      <c r="P2" s="1" t="s">
        <v>82</v>
      </c>
    </row>
    <row r="3" customHeight="1" spans="1:18">
      <c r="A3" s="2" t="s">
        <v>83</v>
      </c>
      <c r="B3" s="2">
        <v>36</v>
      </c>
      <c r="C3" s="2" t="s">
        <v>8</v>
      </c>
      <c r="E3" s="2" t="s">
        <v>58</v>
      </c>
      <c r="H3" s="2" t="s">
        <v>84</v>
      </c>
      <c r="I3" s="4">
        <v>3275000</v>
      </c>
      <c r="L3" s="2" t="s">
        <v>84</v>
      </c>
      <c r="M3" s="4">
        <v>3275000</v>
      </c>
      <c r="P3" s="2" t="s">
        <v>84</v>
      </c>
      <c r="Q3" s="4">
        <v>3150000</v>
      </c>
      <c r="R3" s="6">
        <f>Q3-R4</f>
        <v>2520000</v>
      </c>
    </row>
    <row r="4" customHeight="1" spans="1:18">
      <c r="A4" s="2" t="s">
        <v>85</v>
      </c>
      <c r="B4" s="3">
        <v>0.12</v>
      </c>
      <c r="C4" s="2" t="s">
        <v>86</v>
      </c>
      <c r="E4" s="2">
        <v>0</v>
      </c>
      <c r="F4" s="4">
        <v>0</v>
      </c>
      <c r="H4" s="2" t="s">
        <v>85</v>
      </c>
      <c r="I4" s="3">
        <v>0.08</v>
      </c>
      <c r="J4" s="2" t="s">
        <v>87</v>
      </c>
      <c r="L4" s="2" t="s">
        <v>85</v>
      </c>
      <c r="M4" s="5">
        <v>0.012</v>
      </c>
      <c r="N4" s="2" t="s">
        <v>88</v>
      </c>
      <c r="P4" s="2" t="s">
        <v>89</v>
      </c>
      <c r="Q4" s="3">
        <v>0.2</v>
      </c>
      <c r="R4" s="6">
        <f>Q3*Q4</f>
        <v>630000</v>
      </c>
    </row>
    <row r="5" customHeight="1" spans="1:18">
      <c r="A5" s="2" t="s">
        <v>85</v>
      </c>
      <c r="B5" s="5">
        <f>(1+B4)^(3/36)-1</f>
        <v>0.00948879293458305</v>
      </c>
      <c r="C5" s="2" t="s">
        <v>88</v>
      </c>
      <c r="E5" s="2">
        <v>1</v>
      </c>
      <c r="F5" s="6">
        <f>$B$6</f>
        <v>25000</v>
      </c>
      <c r="H5" s="2" t="s">
        <v>85</v>
      </c>
      <c r="I5" s="5">
        <f>(1+I4)^(5/60)-1</f>
        <v>0.00643403011000343</v>
      </c>
      <c r="J5" s="2" t="s">
        <v>90</v>
      </c>
      <c r="L5" s="2" t="s">
        <v>83</v>
      </c>
      <c r="M5" s="2">
        <v>96</v>
      </c>
      <c r="N5" s="2" t="s">
        <v>8</v>
      </c>
      <c r="P5" s="2" t="s">
        <v>83</v>
      </c>
      <c r="Q5" s="2">
        <v>72</v>
      </c>
      <c r="R5" s="2" t="s">
        <v>8</v>
      </c>
    </row>
    <row r="6" customHeight="1" spans="1:18">
      <c r="A6" s="2" t="s">
        <v>91</v>
      </c>
      <c r="B6" s="4">
        <v>25000</v>
      </c>
      <c r="C6" s="2" t="s">
        <v>92</v>
      </c>
      <c r="E6" s="2">
        <v>2</v>
      </c>
      <c r="F6" s="6">
        <f t="shared" ref="F6:F40" si="0">(F5*(1+$B$5)+($B$6+($B$8*E5)))</f>
        <v>52237.2198233646</v>
      </c>
      <c r="H6" s="2" t="s">
        <v>83</v>
      </c>
      <c r="I6" s="2">
        <v>60</v>
      </c>
      <c r="J6" s="2" t="s">
        <v>8</v>
      </c>
      <c r="L6" s="2" t="s">
        <v>93</v>
      </c>
      <c r="M6" s="2">
        <v>0</v>
      </c>
      <c r="N6" s="2" t="s">
        <v>94</v>
      </c>
      <c r="P6" s="2" t="s">
        <v>95</v>
      </c>
      <c r="Q6" s="4">
        <v>52000</v>
      </c>
      <c r="R6" s="2" t="s">
        <v>92</v>
      </c>
    </row>
    <row r="7" customHeight="1" spans="1:18">
      <c r="A7" s="2" t="s">
        <v>93</v>
      </c>
      <c r="B7" s="2">
        <v>0</v>
      </c>
      <c r="C7" s="2" t="s">
        <v>94</v>
      </c>
      <c r="E7" s="2">
        <v>3</v>
      </c>
      <c r="F7" s="6">
        <f t="shared" si="0"/>
        <v>81732.8879857468</v>
      </c>
      <c r="H7" s="2" t="s">
        <v>93</v>
      </c>
      <c r="I7" s="2">
        <v>1</v>
      </c>
      <c r="J7" s="2" t="s">
        <v>96</v>
      </c>
      <c r="L7" s="2" t="s">
        <v>43</v>
      </c>
      <c r="M7" s="4">
        <v>25000</v>
      </c>
      <c r="N7" s="2" t="s">
        <v>97</v>
      </c>
      <c r="P7" s="2" t="s">
        <v>93</v>
      </c>
      <c r="Q7" s="2">
        <v>0</v>
      </c>
      <c r="R7" s="2" t="s">
        <v>94</v>
      </c>
    </row>
    <row r="8" customHeight="1" spans="1:17">
      <c r="A8" s="2" t="s">
        <v>98</v>
      </c>
      <c r="B8" s="4">
        <v>2000</v>
      </c>
      <c r="C8" s="2" t="s">
        <v>99</v>
      </c>
      <c r="E8" s="2">
        <v>4</v>
      </c>
      <c r="F8" s="6">
        <f t="shared" si="0"/>
        <v>113508.434435789</v>
      </c>
      <c r="H8" s="2" t="s">
        <v>91</v>
      </c>
      <c r="I8" s="6">
        <f>-PMT(I5,I6,I3,,I7)</f>
        <v>65546.7739765381</v>
      </c>
      <c r="J8" s="2" t="s">
        <v>92</v>
      </c>
      <c r="L8" s="2" t="s">
        <v>91</v>
      </c>
      <c r="M8" s="6">
        <f>-PMT(M4,M5,M3,M7,M6)</f>
        <v>57779.7154444079</v>
      </c>
      <c r="N8" s="2" t="s">
        <v>92</v>
      </c>
      <c r="P8" s="2" t="s">
        <v>85</v>
      </c>
      <c r="Q8" s="7">
        <f>RATE(Q5,-Q6,R3,,Q7)</f>
        <v>0.0117120628033632</v>
      </c>
    </row>
    <row r="9" customHeight="1" spans="5:6">
      <c r="E9" s="2">
        <v>5</v>
      </c>
      <c r="F9" s="6">
        <f t="shared" si="0"/>
        <v>147585.492466479</v>
      </c>
    </row>
    <row r="10" customHeight="1" spans="5:6">
      <c r="E10" s="2">
        <v>6</v>
      </c>
      <c r="F10" s="6">
        <f t="shared" si="0"/>
        <v>183985.900644642</v>
      </c>
    </row>
    <row r="11" customHeight="1" spans="5:6">
      <c r="E11" s="2">
        <v>7</v>
      </c>
      <c r="F11" s="6">
        <f t="shared" si="0"/>
        <v>222731.704758742</v>
      </c>
    </row>
    <row r="12" customHeight="1" spans="5:6">
      <c r="E12" s="2">
        <v>8</v>
      </c>
      <c r="F12" s="6">
        <f t="shared" si="0"/>
        <v>263845.159785164</v>
      </c>
    </row>
    <row r="13" customHeight="1" spans="5:6">
      <c r="E13" s="2">
        <v>9</v>
      </c>
      <c r="F13" s="6">
        <f t="shared" si="0"/>
        <v>307348.731873157</v>
      </c>
    </row>
    <row r="14" customHeight="1" spans="5:6">
      <c r="E14" s="2">
        <v>10</v>
      </c>
      <c r="F14" s="6">
        <f t="shared" si="0"/>
        <v>353265.100348608</v>
      </c>
    </row>
    <row r="15" customHeight="1" spans="5:6">
      <c r="E15" s="2">
        <v>11</v>
      </c>
      <c r="F15" s="6">
        <f t="shared" si="0"/>
        <v>401617.159736831</v>
      </c>
    </row>
    <row r="16" customHeight="1" spans="5:6">
      <c r="E16" s="2">
        <v>12</v>
      </c>
      <c r="F16" s="6">
        <f t="shared" si="0"/>
        <v>452428.021804549</v>
      </c>
    </row>
    <row r="17" customHeight="1" spans="5:6">
      <c r="E17" s="2">
        <v>13</v>
      </c>
      <c r="F17" s="6">
        <f t="shared" si="0"/>
        <v>505721.017621256</v>
      </c>
    </row>
    <row r="18" customHeight="1" spans="5:6">
      <c r="E18" s="2">
        <v>14</v>
      </c>
      <c r="F18" s="6">
        <f t="shared" si="0"/>
        <v>561519.69964013</v>
      </c>
    </row>
    <row r="19" customHeight="1" spans="5:6">
      <c r="E19" s="2">
        <v>15</v>
      </c>
      <c r="F19" s="6">
        <f t="shared" si="0"/>
        <v>619847.843798705</v>
      </c>
    </row>
    <row r="20" customHeight="1" spans="5:6">
      <c r="E20" s="2">
        <v>16</v>
      </c>
      <c r="F20" s="6">
        <f t="shared" si="0"/>
        <v>680729.451639459</v>
      </c>
    </row>
    <row r="21" customHeight="1" spans="5:6">
      <c r="E21" s="2">
        <v>17</v>
      </c>
      <c r="F21" s="6">
        <f t="shared" si="0"/>
        <v>744188.752450538</v>
      </c>
    </row>
    <row r="22" customHeight="1" spans="5:6">
      <c r="E22" s="2">
        <v>18</v>
      </c>
      <c r="F22" s="6">
        <f t="shared" si="0"/>
        <v>810250.205426787</v>
      </c>
    </row>
    <row r="23" customHeight="1" spans="5:6">
      <c r="E23" s="2">
        <v>19</v>
      </c>
      <c r="F23" s="6">
        <f t="shared" si="0"/>
        <v>878938.501851285</v>
      </c>
    </row>
    <row r="24" customHeight="1" spans="5:6">
      <c r="E24" s="2">
        <v>20</v>
      </c>
      <c r="F24" s="6">
        <f t="shared" si="0"/>
        <v>950278.567297584</v>
      </c>
    </row>
    <row r="25" customHeight="1" spans="5:6">
      <c r="E25" s="2">
        <v>21</v>
      </c>
      <c r="F25" s="6">
        <f t="shared" si="0"/>
        <v>1024295.56385284</v>
      </c>
    </row>
    <row r="26" customHeight="1" spans="5:6">
      <c r="E26" s="2">
        <v>22</v>
      </c>
      <c r="F26" s="6">
        <f t="shared" si="0"/>
        <v>1101014.89236205</v>
      </c>
    </row>
    <row r="27" customHeight="1" spans="5:6">
      <c r="E27" s="2">
        <v>23</v>
      </c>
      <c r="F27" s="6">
        <f t="shared" si="0"/>
        <v>1180462.19469357</v>
      </c>
    </row>
    <row r="28" customHeight="1" spans="5:6">
      <c r="E28" s="2">
        <v>24</v>
      </c>
      <c r="F28" s="6">
        <f t="shared" si="0"/>
        <v>1262663.35602612</v>
      </c>
    </row>
    <row r="29" customHeight="1" spans="5:6">
      <c r="E29" s="2">
        <v>25</v>
      </c>
      <c r="F29" s="6">
        <f t="shared" si="0"/>
        <v>1347644.50715754</v>
      </c>
    </row>
    <row r="30" customHeight="1" spans="5:6">
      <c r="E30" s="2">
        <v>26</v>
      </c>
      <c r="F30" s="6">
        <f t="shared" si="0"/>
        <v>1435432.02683539</v>
      </c>
    </row>
    <row r="31" customHeight="1" spans="5:6">
      <c r="E31" s="2">
        <v>27</v>
      </c>
      <c r="F31" s="6">
        <f t="shared" si="0"/>
        <v>1526052.54410969</v>
      </c>
    </row>
    <row r="32" customHeight="1" spans="5:6">
      <c r="E32" s="2">
        <v>28</v>
      </c>
      <c r="F32" s="6">
        <f t="shared" si="0"/>
        <v>1619532.94070805</v>
      </c>
    </row>
    <row r="33" customHeight="1" spans="5:6">
      <c r="E33" s="2">
        <v>29</v>
      </c>
      <c r="F33" s="6">
        <f t="shared" si="0"/>
        <v>1715900.35343316</v>
      </c>
    </row>
    <row r="34" customHeight="1" spans="5:6">
      <c r="E34" s="2">
        <v>30</v>
      </c>
      <c r="F34" s="6">
        <f t="shared" si="0"/>
        <v>1815182.17658327</v>
      </c>
    </row>
    <row r="35" customHeight="1" spans="5:6">
      <c r="E35" s="2">
        <v>31</v>
      </c>
      <c r="F35" s="6">
        <f t="shared" si="0"/>
        <v>1917406.06439541</v>
      </c>
    </row>
    <row r="36" customHeight="1" spans="5:6">
      <c r="E36" s="2">
        <v>32</v>
      </c>
      <c r="F36" s="6">
        <f t="shared" si="0"/>
        <v>2022599.93351197</v>
      </c>
    </row>
    <row r="37" customHeight="1" spans="5:6">
      <c r="E37" s="2">
        <v>33</v>
      </c>
      <c r="F37" s="6">
        <f t="shared" si="0"/>
        <v>2130791.96547057</v>
      </c>
    </row>
    <row r="38" customHeight="1" spans="5:6">
      <c r="E38" s="2">
        <v>34</v>
      </c>
      <c r="F38" s="6">
        <f t="shared" si="0"/>
        <v>2242010.60921759</v>
      </c>
    </row>
    <row r="39" customHeight="1" spans="5:6">
      <c r="E39" s="2">
        <v>35</v>
      </c>
      <c r="F39" s="6">
        <f t="shared" si="0"/>
        <v>2356284.5836456</v>
      </c>
    </row>
    <row r="40" customHeight="1" spans="5:6">
      <c r="E40" s="2">
        <v>36</v>
      </c>
      <c r="F40" s="6">
        <f t="shared" si="0"/>
        <v>2473642.88015476</v>
      </c>
    </row>
    <row r="41" customHeight="1" spans="6:6">
      <c r="F41" s="6"/>
    </row>
    <row r="42" customHeight="1" spans="1:1">
      <c r="A42" s="1" t="s">
        <v>100</v>
      </c>
    </row>
    <row r="43" customHeight="1" spans="1:8">
      <c r="A43" s="1" t="s">
        <v>79</v>
      </c>
      <c r="H43" s="1" t="s">
        <v>80</v>
      </c>
    </row>
    <row r="44" customHeight="1" spans="1:10">
      <c r="A44" s="2" t="s">
        <v>85</v>
      </c>
      <c r="B44" s="3">
        <v>0.12</v>
      </c>
      <c r="C44" s="2" t="s">
        <v>86</v>
      </c>
      <c r="E44" s="2" t="s">
        <v>58</v>
      </c>
      <c r="H44" s="2" t="s">
        <v>83</v>
      </c>
      <c r="I44" s="2">
        <v>3</v>
      </c>
      <c r="J44" s="2" t="s">
        <v>6</v>
      </c>
    </row>
    <row r="45" customHeight="1" spans="1:10">
      <c r="A45" s="2" t="s">
        <v>84</v>
      </c>
      <c r="B45" s="6">
        <f>-PV(B44,E59,,F60)</f>
        <v>85684.5465329094</v>
      </c>
      <c r="E45" s="2">
        <v>1</v>
      </c>
      <c r="F45" s="4">
        <v>28000</v>
      </c>
      <c r="H45" s="2" t="s">
        <v>43</v>
      </c>
      <c r="I45" s="4">
        <v>120000</v>
      </c>
      <c r="J45" s="2" t="s">
        <v>101</v>
      </c>
    </row>
    <row r="46" customHeight="1" spans="1:10">
      <c r="A46" s="6">
        <f>-FV(B44,E59,,B45)</f>
        <v>469000</v>
      </c>
      <c r="E46" s="2">
        <v>2</v>
      </c>
      <c r="F46" s="4">
        <v>28000</v>
      </c>
      <c r="H46" s="2" t="s">
        <v>85</v>
      </c>
      <c r="I46" s="3">
        <v>0.12</v>
      </c>
      <c r="J46" s="2" t="s">
        <v>86</v>
      </c>
    </row>
    <row r="47" customHeight="1" spans="5:9">
      <c r="E47" s="2">
        <v>3</v>
      </c>
      <c r="F47" s="4">
        <v>28000</v>
      </c>
      <c r="H47" s="2" t="s">
        <v>84</v>
      </c>
      <c r="I47" s="6">
        <f>-PV(I46,I44,,I45)</f>
        <v>85413.6297376093</v>
      </c>
    </row>
    <row r="48" customHeight="1" spans="5:6">
      <c r="E48" s="2">
        <v>4</v>
      </c>
      <c r="F48" s="4">
        <v>28000</v>
      </c>
    </row>
    <row r="49" customHeight="1" spans="5:6">
      <c r="E49" s="2">
        <v>5</v>
      </c>
      <c r="F49" s="4">
        <v>28000</v>
      </c>
    </row>
    <row r="50" customHeight="1" spans="5:6">
      <c r="E50" s="2">
        <v>6</v>
      </c>
      <c r="F50" s="4">
        <v>28000</v>
      </c>
    </row>
    <row r="51" customHeight="1" spans="5:6">
      <c r="E51" s="2">
        <v>7</v>
      </c>
      <c r="F51" s="4">
        <v>28000</v>
      </c>
    </row>
    <row r="52" customHeight="1" spans="5:6">
      <c r="E52" s="2">
        <v>8</v>
      </c>
      <c r="F52" s="4">
        <v>28000</v>
      </c>
    </row>
    <row r="53" customHeight="1" spans="5:6">
      <c r="E53" s="2">
        <v>9</v>
      </c>
      <c r="F53" s="4">
        <v>35000</v>
      </c>
    </row>
    <row r="54" customHeight="1" spans="5:6">
      <c r="E54" s="2">
        <v>10</v>
      </c>
      <c r="F54" s="4">
        <v>35000</v>
      </c>
    </row>
    <row r="55" customHeight="1" spans="5:6">
      <c r="E55" s="2">
        <v>11</v>
      </c>
      <c r="F55" s="4">
        <v>35000</v>
      </c>
    </row>
    <row r="56" customHeight="1" spans="5:6">
      <c r="E56" s="2">
        <v>12</v>
      </c>
      <c r="F56" s="4">
        <v>35000</v>
      </c>
    </row>
    <row r="57" customHeight="1" spans="5:6">
      <c r="E57" s="2">
        <v>13</v>
      </c>
      <c r="F57" s="4">
        <v>35000</v>
      </c>
    </row>
    <row r="58" customHeight="1" spans="5:6">
      <c r="E58" s="2">
        <v>14</v>
      </c>
      <c r="F58" s="4">
        <v>35000</v>
      </c>
    </row>
    <row r="59" customHeight="1" spans="5:6">
      <c r="E59" s="2">
        <v>15</v>
      </c>
      <c r="F59" s="4">
        <v>35000</v>
      </c>
    </row>
    <row r="60" customHeight="1" spans="5:6">
      <c r="E60" s="2" t="s">
        <v>102</v>
      </c>
      <c r="F60" s="6">
        <f>SUM(F45:F59)</f>
        <v>469000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nota questionario</vt:lpstr>
      <vt:lpstr>1</vt:lpstr>
      <vt:lpstr>2</vt:lpstr>
      <vt:lpstr>prova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pehen</cp:lastModifiedBy>
  <dcterms:created xsi:type="dcterms:W3CDTF">2025-07-03T15:03:35Z</dcterms:created>
  <dcterms:modified xsi:type="dcterms:W3CDTF">2025-07-03T15:09:04Z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8BBFEDCFED584F1FA5B9F9B160CC2FD2_12</vt:lpwstr>
  </property>
  <property fmtid="{D5CDD505-2E9C-101B-9397-08002B2CF9AE}" pid="3" name="KSOProductBuildVer">
    <vt:lpwstr>1046-12.2.0.21546</vt:lpwstr>
  </property>
</Properties>
</file>