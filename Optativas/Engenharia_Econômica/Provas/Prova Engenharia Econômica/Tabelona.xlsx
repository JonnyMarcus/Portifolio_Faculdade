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Ex1" sheetId="7" r:id="rId1"/>
    <sheet name="Ex2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unifei</author>
  </authors>
  <commentList>
    <comment ref="R22" authorId="0">
      <text>
        <r>
          <rPr>
            <b/>
            <sz val="9"/>
            <rFont val="Segoe UI"/>
            <charset val="134"/>
          </rPr>
          <t>unifei:</t>
        </r>
        <r>
          <rPr>
            <sz val="9"/>
            <rFont val="Segoe UI"/>
            <charset val="134"/>
          </rPr>
          <t xml:space="preserve">
</t>
        </r>
        <r>
          <rPr>
            <sz val="12"/>
            <rFont val="Segoe UI"/>
            <charset val="134"/>
          </rPr>
          <t>Valor Residual= Valor residual de venda do ativo - IR sobre a venda + CG</t>
        </r>
      </text>
    </comment>
  </commentList>
</comments>
</file>

<file path=xl/comments2.xml><?xml version="1.0" encoding="utf-8"?>
<comments xmlns="http://schemas.openxmlformats.org/spreadsheetml/2006/main">
  <authors>
    <author>unifei</author>
  </authors>
  <commentList>
    <comment ref="AC22" authorId="0">
      <text>
        <r>
          <rPr>
            <b/>
            <sz val="9"/>
            <rFont val="Segoe UI"/>
            <charset val="134"/>
          </rPr>
          <t>unifei:</t>
        </r>
        <r>
          <rPr>
            <sz val="9"/>
            <rFont val="Segoe UI"/>
            <charset val="134"/>
          </rPr>
          <t xml:space="preserve">
</t>
        </r>
        <r>
          <rPr>
            <sz val="12"/>
            <rFont val="Segoe UI"/>
            <charset val="134"/>
          </rPr>
          <t>Valor Residual = Valor residual de venda - IR sobre a venda +CG</t>
        </r>
      </text>
    </comment>
  </commentList>
</comments>
</file>

<file path=xl/sharedStrings.xml><?xml version="1.0" encoding="utf-8"?>
<sst xmlns="http://schemas.openxmlformats.org/spreadsheetml/2006/main" count="195" uniqueCount="102">
  <si>
    <t>Fluxo de caixa do Empreendimento</t>
  </si>
  <si>
    <t>Dados:</t>
  </si>
  <si>
    <t>Ano</t>
  </si>
  <si>
    <t>Investimento Fixo</t>
  </si>
  <si>
    <t>reais</t>
  </si>
  <si>
    <t>Receita Bruta</t>
  </si>
  <si>
    <t>Capital de Giro Inicial</t>
  </si>
  <si>
    <t>(-) Impostos proporcionais</t>
  </si>
  <si>
    <t>Receita</t>
  </si>
  <si>
    <t>Receita Líquida</t>
  </si>
  <si>
    <t>Produção:</t>
  </si>
  <si>
    <t>placas/dia</t>
  </si>
  <si>
    <t>(-) Custo Variável</t>
  </si>
  <si>
    <t>Dias:</t>
  </si>
  <si>
    <t>dias</t>
  </si>
  <si>
    <t>(-) Custo Fixo</t>
  </si>
  <si>
    <t>Preço placa:</t>
  </si>
  <si>
    <t>reais/placa</t>
  </si>
  <si>
    <t>Lucro Bruto</t>
  </si>
  <si>
    <t>Custos Fixos</t>
  </si>
  <si>
    <t>reais/ano</t>
  </si>
  <si>
    <t>(-) Despesas Variaveis</t>
  </si>
  <si>
    <t>Custos variáveis</t>
  </si>
  <si>
    <t>(-) Despesas Fixas</t>
  </si>
  <si>
    <t>Despesas Fixas</t>
  </si>
  <si>
    <t>(-) Depreciação</t>
  </si>
  <si>
    <t>ICMS, IPI, PIS, Cofins (Imp prop.)</t>
  </si>
  <si>
    <t>Lucro Antes de Juros e Imp.</t>
  </si>
  <si>
    <t>IRPJ/CSL</t>
  </si>
  <si>
    <t>(-) Despesas financeiras</t>
  </si>
  <si>
    <t>Taxa de depreciação:</t>
  </si>
  <si>
    <t>Lucro antes do IR</t>
  </si>
  <si>
    <t>Vida util do projeto</t>
  </si>
  <si>
    <t>anos</t>
  </si>
  <si>
    <t>(-) IR/CSLL</t>
  </si>
  <si>
    <t>Valor Residual Venda IF:</t>
  </si>
  <si>
    <t>Lucro Líquido Após IR</t>
  </si>
  <si>
    <t>TMA=</t>
  </si>
  <si>
    <t>ao ano</t>
  </si>
  <si>
    <t>(+) Depreciação</t>
  </si>
  <si>
    <t>Parcela Inv Fixo Financiada</t>
  </si>
  <si>
    <t>(-) Amortização</t>
  </si>
  <si>
    <t>Taxa de juros financiamento</t>
  </si>
  <si>
    <t>aa</t>
  </si>
  <si>
    <t>(-) Investimento Fixo</t>
  </si>
  <si>
    <t>Amortização</t>
  </si>
  <si>
    <t>4 anos SAC (1 ano de carência)</t>
  </si>
  <si>
    <t>(-) Capital de Giro</t>
  </si>
  <si>
    <t>Vida Contábil (N)</t>
  </si>
  <si>
    <t>(+) Valor residual</t>
  </si>
  <si>
    <t>Fluxo de caixa</t>
  </si>
  <si>
    <t>TIR</t>
  </si>
  <si>
    <t>VPL</t>
  </si>
  <si>
    <t>Ganho de Capital</t>
  </si>
  <si>
    <t>Depreciação acumulada</t>
  </si>
  <si>
    <t>Valor contábil no último ano</t>
  </si>
  <si>
    <t xml:space="preserve">Resultado da venda do ativo </t>
  </si>
  <si>
    <t>Tributos sobre venda ativo</t>
  </si>
  <si>
    <t>Juros</t>
  </si>
  <si>
    <t>Fluxo de Caixa do Acionista</t>
  </si>
  <si>
    <t>Financiamento</t>
  </si>
  <si>
    <t>SAC</t>
  </si>
  <si>
    <t>Prestação</t>
  </si>
  <si>
    <t>Saldo devedor</t>
  </si>
  <si>
    <t>(-) Despesas financeiras (JUROS)</t>
  </si>
  <si>
    <t>(-) Investimento</t>
  </si>
  <si>
    <t>(-) Capital de giro</t>
  </si>
  <si>
    <t>(+) Liberação financiamento</t>
  </si>
  <si>
    <t xml:space="preserve">Potência </t>
  </si>
  <si>
    <t>MW</t>
  </si>
  <si>
    <t>Investimento</t>
  </si>
  <si>
    <t>$/MW</t>
  </si>
  <si>
    <t>Capital de giro</t>
  </si>
  <si>
    <t>$</t>
  </si>
  <si>
    <t>Produção de energia</t>
  </si>
  <si>
    <t>MWh/ano</t>
  </si>
  <si>
    <t>Preço energia</t>
  </si>
  <si>
    <t>$/MWh</t>
  </si>
  <si>
    <t>Custos</t>
  </si>
  <si>
    <t>Outros custos</t>
  </si>
  <si>
    <t>$/ano</t>
  </si>
  <si>
    <t>Consumo de gás</t>
  </si>
  <si>
    <t>m3/ano</t>
  </si>
  <si>
    <t>Custo de gás</t>
  </si>
  <si>
    <t>$/m3</t>
  </si>
  <si>
    <t>Vida</t>
  </si>
  <si>
    <t>20 anos</t>
  </si>
  <si>
    <t>Valor residual</t>
  </si>
  <si>
    <t>TMA</t>
  </si>
  <si>
    <t>Depreciação</t>
  </si>
  <si>
    <t>IR</t>
  </si>
  <si>
    <t>ICMS,IPI,PIS,Cofins</t>
  </si>
  <si>
    <t xml:space="preserve">Financiamento </t>
  </si>
  <si>
    <t>SAC (INV Fixo)</t>
  </si>
  <si>
    <t>Período do financiamento</t>
  </si>
  <si>
    <t>Vida Contábil</t>
  </si>
  <si>
    <t>Preço de venda</t>
  </si>
  <si>
    <t>Ponto de Equilibrio para o preço</t>
  </si>
  <si>
    <t>Financiamento:</t>
  </si>
  <si>
    <t>10 anos sem carência</t>
  </si>
  <si>
    <t>Fluxo de caixa do Acionista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</si>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</sst>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_-;\-* #,##0_-;_-* &quot;-&quot;??_-;_-@_-"/>
    <numFmt numFmtId="181" formatCode="&quot;R$&quot;#,##0.00;[Red]\-&quot;R$&quot;#,##0.00"/>
    <numFmt numFmtId="182" formatCode="&quot;R$&quot;\ #,##0.00;[Red]\-&quot;R$&quot;\ #,##0.00"/>
  </numFmts>
  <fonts count="3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name val="Arial"/>
      <charset val="134"/>
    </font>
    <font>
      <b/>
      <sz val="14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egoe UI"/>
      <charset val="134"/>
    </font>
    <font>
      <sz val="9"/>
      <name val="Segoe UI"/>
      <charset val="134"/>
    </font>
    <font>
      <sz val="12"/>
      <name val="Segoe U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49" fontId="2" fillId="2" borderId="2" xfId="0" applyNumberFormat="1" applyFont="1" applyFill="1" applyBorder="1"/>
    <xf numFmtId="177" fontId="2" fillId="2" borderId="3" xfId="2" applyNumberFormat="1" applyFont="1" applyFill="1" applyBorder="1" applyAlignment="1">
      <alignment horizontal="center"/>
    </xf>
    <xf numFmtId="49" fontId="2" fillId="4" borderId="2" xfId="0" applyNumberFormat="1" applyFont="1" applyFill="1" applyBorder="1"/>
    <xf numFmtId="49" fontId="1" fillId="2" borderId="2" xfId="0" applyNumberFormat="1" applyFont="1" applyFill="1" applyBorder="1"/>
    <xf numFmtId="180" fontId="2" fillId="2" borderId="3" xfId="1" applyNumberFormat="1" applyFont="1" applyFill="1" applyBorder="1" applyAlignment="1">
      <alignment horizontal="center"/>
    </xf>
    <xf numFmtId="177" fontId="2" fillId="2" borderId="3" xfId="2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9" fontId="2" fillId="2" borderId="5" xfId="0" applyNumberFormat="1" applyFont="1" applyFill="1" applyBorder="1"/>
    <xf numFmtId="0" fontId="2" fillId="2" borderId="6" xfId="0" applyFont="1" applyFill="1" applyBorder="1"/>
    <xf numFmtId="9" fontId="2" fillId="2" borderId="3" xfId="0" applyNumberFormat="1" applyFont="1" applyFill="1" applyBorder="1"/>
    <xf numFmtId="0" fontId="3" fillId="2" borderId="2" xfId="0" applyFont="1" applyFill="1" applyBorder="1"/>
    <xf numFmtId="9" fontId="3" fillId="2" borderId="3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9" fontId="2" fillId="2" borderId="7" xfId="0" applyNumberFormat="1" applyFont="1" applyFill="1" applyBorder="1"/>
    <xf numFmtId="0" fontId="2" fillId="2" borderId="8" xfId="0" applyFont="1" applyFill="1" applyBorder="1"/>
    <xf numFmtId="0" fontId="2" fillId="2" borderId="3" xfId="0" applyFont="1" applyFill="1" applyBorder="1"/>
    <xf numFmtId="10" fontId="2" fillId="2" borderId="9" xfId="0" applyNumberFormat="1" applyFont="1" applyFill="1" applyBorder="1"/>
    <xf numFmtId="0" fontId="2" fillId="2" borderId="10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9" fontId="1" fillId="2" borderId="0" xfId="0" applyNumberFormat="1" applyFont="1" applyFill="1"/>
    <xf numFmtId="0" fontId="2" fillId="2" borderId="0" xfId="0" applyFont="1" applyFill="1" applyBorder="1" applyAlignment="1">
      <alignment horizontal="center"/>
    </xf>
    <xf numFmtId="177" fontId="4" fillId="2" borderId="2" xfId="2" applyFont="1" applyFill="1" applyBorder="1" applyAlignment="1">
      <alignment horizontal="center"/>
    </xf>
    <xf numFmtId="176" fontId="4" fillId="2" borderId="0" xfId="1" applyFont="1" applyFill="1" applyBorder="1"/>
    <xf numFmtId="10" fontId="4" fillId="2" borderId="0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7" fontId="1" fillId="2" borderId="0" xfId="0" applyNumberFormat="1" applyFont="1" applyFill="1"/>
    <xf numFmtId="177" fontId="2" fillId="2" borderId="2" xfId="2" applyFont="1" applyFill="1" applyBorder="1"/>
    <xf numFmtId="0" fontId="2" fillId="3" borderId="2" xfId="0" applyFont="1" applyFill="1" applyBorder="1" applyAlignment="1"/>
    <xf numFmtId="9" fontId="2" fillId="2" borderId="2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/>
    <xf numFmtId="10" fontId="2" fillId="2" borderId="2" xfId="2" applyNumberFormat="1" applyFont="1" applyFill="1" applyBorder="1"/>
    <xf numFmtId="0" fontId="2" fillId="2" borderId="0" xfId="0" applyFont="1" applyFill="1"/>
    <xf numFmtId="177" fontId="2" fillId="2" borderId="2" xfId="2" applyFont="1" applyFill="1" applyBorder="1" applyAlignment="1">
      <alignment horizontal="center"/>
    </xf>
    <xf numFmtId="49" fontId="2" fillId="5" borderId="2" xfId="0" applyNumberFormat="1" applyFont="1" applyFill="1" applyBorder="1"/>
    <xf numFmtId="181" fontId="1" fillId="2" borderId="0" xfId="0" applyNumberFormat="1" applyFont="1" applyFill="1"/>
    <xf numFmtId="0" fontId="2" fillId="2" borderId="0" xfId="0" applyFont="1" applyFill="1" applyBorder="1" applyAlignment="1">
      <alignment horizontal="center" vertical="center"/>
    </xf>
    <xf numFmtId="177" fontId="4" fillId="0" borderId="0" xfId="2" applyFont="1" applyFill="1" applyBorder="1"/>
    <xf numFmtId="177" fontId="2" fillId="2" borderId="0" xfId="2" applyFont="1" applyFill="1" applyBorder="1"/>
    <xf numFmtId="10" fontId="2" fillId="2" borderId="0" xfId="3" applyNumberFormat="1" applyFont="1" applyFill="1" applyBorder="1" applyAlignment="1">
      <alignment horizontal="center" vertical="center"/>
    </xf>
    <xf numFmtId="176" fontId="2" fillId="2" borderId="0" xfId="1" applyFont="1" applyFill="1" applyBorder="1"/>
    <xf numFmtId="49" fontId="2" fillId="2" borderId="0" xfId="0" applyNumberFormat="1" applyFont="1" applyFill="1"/>
    <xf numFmtId="177" fontId="2" fillId="5" borderId="2" xfId="2" applyFont="1" applyFill="1" applyBorder="1"/>
    <xf numFmtId="10" fontId="2" fillId="0" borderId="2" xfId="0" applyNumberFormat="1" applyFont="1" applyFill="1" applyBorder="1" applyAlignment="1">
      <alignment horizontal="center"/>
    </xf>
    <xf numFmtId="182" fontId="2" fillId="0" borderId="2" xfId="2" applyNumberFormat="1" applyFont="1" applyFill="1" applyBorder="1"/>
    <xf numFmtId="0" fontId="5" fillId="2" borderId="1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7" fontId="2" fillId="2" borderId="4" xfId="2" applyFont="1" applyFill="1" applyBorder="1" applyAlignment="1">
      <alignment horizontal="center"/>
    </xf>
    <xf numFmtId="10" fontId="2" fillId="0" borderId="2" xfId="0" applyNumberFormat="1" applyFont="1" applyFill="1" applyBorder="1"/>
    <xf numFmtId="177" fontId="2" fillId="3" borderId="2" xfId="2" applyFont="1" applyFill="1" applyBorder="1"/>
    <xf numFmtId="0" fontId="6" fillId="2" borderId="0" xfId="0" applyFont="1" applyFill="1"/>
    <xf numFmtId="49" fontId="6" fillId="2" borderId="0" xfId="0" applyNumberFormat="1" applyFont="1" applyFill="1"/>
    <xf numFmtId="49" fontId="4" fillId="2" borderId="0" xfId="0" applyNumberFormat="1" applyFont="1" applyFill="1" applyAlignment="1">
      <alignment horizontal="center"/>
    </xf>
    <xf numFmtId="0" fontId="3" fillId="2" borderId="0" xfId="0" applyFont="1" applyFill="1"/>
    <xf numFmtId="49" fontId="4" fillId="2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177" fontId="3" fillId="2" borderId="2" xfId="2" applyFont="1" applyFill="1" applyBorder="1"/>
    <xf numFmtId="0" fontId="3" fillId="2" borderId="0" xfId="0" applyFont="1" applyFill="1" applyBorder="1"/>
    <xf numFmtId="49" fontId="4" fillId="5" borderId="2" xfId="0" applyNumberFormat="1" applyFont="1" applyFill="1" applyBorder="1"/>
    <xf numFmtId="177" fontId="6" fillId="5" borderId="2" xfId="2" applyFont="1" applyFill="1" applyBorder="1"/>
    <xf numFmtId="49" fontId="6" fillId="2" borderId="2" xfId="0" applyNumberFormat="1" applyFont="1" applyFill="1" applyBorder="1"/>
    <xf numFmtId="177" fontId="6" fillId="2" borderId="2" xfId="2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indent="1"/>
    </xf>
    <xf numFmtId="9" fontId="3" fillId="2" borderId="2" xfId="0" applyNumberFormat="1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10" fontId="6" fillId="2" borderId="2" xfId="0" applyNumberFormat="1" applyFont="1" applyFill="1" applyBorder="1" applyAlignment="1">
      <alignment horizontal="center" vertical="center"/>
    </xf>
    <xf numFmtId="182" fontId="6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77" fontId="6" fillId="0" borderId="2" xfId="2" applyFont="1" applyBorder="1"/>
    <xf numFmtId="177" fontId="6" fillId="0" borderId="2" xfId="2" applyFont="1" applyBorder="1" applyAlignment="1">
      <alignment horizontal="center"/>
    </xf>
    <xf numFmtId="0" fontId="4" fillId="2" borderId="0" xfId="0" applyFont="1" applyFill="1"/>
    <xf numFmtId="9" fontId="4" fillId="2" borderId="0" xfId="0" applyNumberFormat="1" applyFont="1" applyFill="1"/>
    <xf numFmtId="49" fontId="4" fillId="2" borderId="1" xfId="0" applyNumberFormat="1" applyFont="1" applyFill="1" applyBorder="1" applyAlignment="1">
      <alignment horizontal="center"/>
    </xf>
    <xf numFmtId="177" fontId="4" fillId="2" borderId="0" xfId="2" applyFont="1" applyFill="1"/>
    <xf numFmtId="0" fontId="0" fillId="2" borderId="0" xfId="0" applyFill="1"/>
    <xf numFmtId="0" fontId="4" fillId="0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7" fontId="4" fillId="2" borderId="0" xfId="2" applyFont="1" applyFill="1" applyBorder="1" applyAlignment="1">
      <alignment horizontal="center"/>
    </xf>
    <xf numFmtId="182" fontId="6" fillId="2" borderId="0" xfId="0" applyNumberFormat="1" applyFont="1" applyFill="1"/>
    <xf numFmtId="10" fontId="6" fillId="2" borderId="2" xfId="0" applyNumberFormat="1" applyFont="1" applyFill="1" applyBorder="1" applyAlignment="1">
      <alignment horizontal="center"/>
    </xf>
    <xf numFmtId="182" fontId="6" fillId="2" borderId="2" xfId="0" applyNumberFormat="1" applyFont="1" applyFill="1" applyBorder="1" applyAlignment="1">
      <alignment horizontal="center"/>
    </xf>
    <xf numFmtId="10" fontId="6" fillId="2" borderId="0" xfId="3" applyNumberFormat="1" applyFont="1" applyFill="1"/>
    <xf numFmtId="0" fontId="7" fillId="0" borderId="2" xfId="0" applyFont="1" applyFill="1" applyBorder="1" applyAlignment="1">
      <alignment horizontal="center"/>
    </xf>
    <xf numFmtId="177" fontId="6" fillId="2" borderId="2" xfId="2" applyFont="1" applyFill="1" applyBorder="1" applyAlignment="1">
      <alignment horizontal="center"/>
    </xf>
    <xf numFmtId="177" fontId="6" fillId="0" borderId="2" xfId="2" applyFont="1" applyFill="1" applyBorder="1" applyAlignment="1">
      <alignment horizontal="center"/>
    </xf>
    <xf numFmtId="177" fontId="6" fillId="0" borderId="2" xfId="2" applyFont="1" applyFill="1" applyBorder="1"/>
    <xf numFmtId="177" fontId="6" fillId="3" borderId="2" xfId="2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zoomScale="90" zoomScaleNormal="90" topLeftCell="E1" workbookViewId="0">
      <selection activeCell="J4" sqref="J4"/>
    </sheetView>
  </sheetViews>
  <sheetFormatPr defaultColWidth="9.14285714285714" defaultRowHeight="18.75"/>
  <cols>
    <col min="1" max="1" width="17.7142857142857" style="60" customWidth="1"/>
    <col min="2" max="2" width="39.8571428571429" style="60" customWidth="1"/>
    <col min="3" max="3" width="21.4285714285714" style="60" customWidth="1"/>
    <col min="4" max="4" width="20.5714285714286" style="60" customWidth="1"/>
    <col min="5" max="5" width="18.2857142857143" style="60" customWidth="1"/>
    <col min="6" max="6" width="5.42857142857143" style="60" customWidth="1"/>
    <col min="7" max="7" width="37.7142857142857" style="61" customWidth="1"/>
    <col min="8" max="9" width="19.5714285714286" style="60" customWidth="1"/>
    <col min="10" max="17" width="19" style="60" customWidth="1"/>
    <col min="18" max="18" width="19.5714285714286" style="60" customWidth="1"/>
    <col min="19" max="16384" width="9.14285714285714" style="60"/>
  </cols>
  <sheetData>
    <row r="1" spans="7:18">
      <c r="G1" s="62" t="s">
        <v>0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3" spans="2:18">
      <c r="B3" s="63" t="s">
        <v>1</v>
      </c>
      <c r="C3" s="63"/>
      <c r="D3" s="63"/>
      <c r="E3" s="63"/>
      <c r="G3" s="64" t="s">
        <v>2</v>
      </c>
      <c r="H3" s="65">
        <v>0</v>
      </c>
      <c r="I3" s="65">
        <v>1</v>
      </c>
      <c r="J3" s="65">
        <v>2</v>
      </c>
      <c r="K3" s="65">
        <v>3</v>
      </c>
      <c r="L3" s="65">
        <v>4</v>
      </c>
      <c r="M3" s="65">
        <v>5</v>
      </c>
      <c r="N3" s="65">
        <v>6</v>
      </c>
      <c r="O3" s="65">
        <v>7</v>
      </c>
      <c r="P3" s="65">
        <v>8</v>
      </c>
      <c r="Q3" s="65">
        <v>9</v>
      </c>
      <c r="R3" s="65">
        <v>10</v>
      </c>
    </row>
    <row r="4" spans="2:18">
      <c r="B4" s="17" t="s">
        <v>3</v>
      </c>
      <c r="C4" s="66">
        <v>270000</v>
      </c>
      <c r="D4" s="17" t="s">
        <v>4</v>
      </c>
      <c r="E4" s="67"/>
      <c r="G4" s="68" t="s">
        <v>5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2:18">
      <c r="B5" s="17" t="s">
        <v>6</v>
      </c>
      <c r="C5" s="66">
        <v>65000</v>
      </c>
      <c r="D5" s="17" t="s">
        <v>4</v>
      </c>
      <c r="E5" s="67"/>
      <c r="G5" s="70" t="s">
        <v>7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2:18">
      <c r="B6" s="72" t="s">
        <v>8</v>
      </c>
      <c r="C6" s="66"/>
      <c r="D6" s="17"/>
      <c r="E6" s="67"/>
      <c r="G6" s="68" t="s">
        <v>9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</row>
    <row r="7" spans="2:18">
      <c r="B7" s="73" t="s">
        <v>10</v>
      </c>
      <c r="C7" s="66">
        <v>500</v>
      </c>
      <c r="D7" s="17" t="s">
        <v>11</v>
      </c>
      <c r="E7" s="67"/>
      <c r="G7" s="70" t="s">
        <v>12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2:18">
      <c r="B8" s="73" t="s">
        <v>13</v>
      </c>
      <c r="C8" s="66">
        <v>360</v>
      </c>
      <c r="D8" s="17" t="s">
        <v>14</v>
      </c>
      <c r="E8" s="67"/>
      <c r="G8" s="70" t="s">
        <v>15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</row>
    <row r="9" spans="2:18">
      <c r="B9" s="73" t="s">
        <v>16</v>
      </c>
      <c r="C9" s="66">
        <v>4.1</v>
      </c>
      <c r="D9" s="17" t="s">
        <v>17</v>
      </c>
      <c r="E9" s="67"/>
      <c r="G9" s="68" t="s">
        <v>18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</row>
    <row r="10" spans="2:18">
      <c r="B10" s="17" t="s">
        <v>19</v>
      </c>
      <c r="C10" s="66">
        <v>230000</v>
      </c>
      <c r="D10" s="17" t="s">
        <v>20</v>
      </c>
      <c r="E10" s="67"/>
      <c r="G10" s="70" t="s">
        <v>21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</row>
    <row r="11" spans="2:18">
      <c r="B11" s="17" t="s">
        <v>22</v>
      </c>
      <c r="C11" s="66">
        <v>0.9</v>
      </c>
      <c r="D11" s="17" t="s">
        <v>17</v>
      </c>
      <c r="E11" s="67"/>
      <c r="G11" s="70" t="s">
        <v>23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</row>
    <row r="12" spans="2:18">
      <c r="B12" s="17" t="s">
        <v>24</v>
      </c>
      <c r="C12" s="66">
        <v>90000</v>
      </c>
      <c r="D12" s="17" t="s">
        <v>4</v>
      </c>
      <c r="E12" s="67"/>
      <c r="G12" s="70" t="s">
        <v>25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</row>
    <row r="13" spans="2:18">
      <c r="B13" s="17" t="s">
        <v>26</v>
      </c>
      <c r="C13" s="74">
        <v>0.18</v>
      </c>
      <c r="D13" s="17"/>
      <c r="E13" s="67"/>
      <c r="G13" s="68" t="s">
        <v>27</v>
      </c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</row>
    <row r="14" spans="2:18">
      <c r="B14" s="17" t="s">
        <v>28</v>
      </c>
      <c r="C14" s="74">
        <v>0.35</v>
      </c>
      <c r="D14" s="17"/>
      <c r="E14" s="67"/>
      <c r="G14" s="70" t="s">
        <v>29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</row>
    <row r="15" spans="2:18">
      <c r="B15" s="17" t="s">
        <v>30</v>
      </c>
      <c r="C15" s="74">
        <v>0.1</v>
      </c>
      <c r="D15" s="17"/>
      <c r="E15" s="67"/>
      <c r="G15" s="68" t="s">
        <v>31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  <row r="16" spans="2:18">
      <c r="B16" s="17" t="s">
        <v>32</v>
      </c>
      <c r="C16" s="17">
        <v>10</v>
      </c>
      <c r="D16" s="17" t="s">
        <v>33</v>
      </c>
      <c r="E16" s="67"/>
      <c r="G16" s="70" t="s">
        <v>34</v>
      </c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</row>
    <row r="17" spans="2:18">
      <c r="B17" s="17" t="s">
        <v>35</v>
      </c>
      <c r="C17" s="66">
        <v>80000</v>
      </c>
      <c r="D17" s="17" t="s">
        <v>4</v>
      </c>
      <c r="E17" s="67"/>
      <c r="G17" s="68" t="s">
        <v>36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</row>
    <row r="18" spans="2:18">
      <c r="B18" s="17" t="s">
        <v>37</v>
      </c>
      <c r="C18" s="74">
        <v>0.18</v>
      </c>
      <c r="D18" s="17" t="s">
        <v>38</v>
      </c>
      <c r="E18" s="67"/>
      <c r="G18" s="70" t="s">
        <v>39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</row>
    <row r="19" spans="2:18">
      <c r="B19" s="17" t="s">
        <v>40</v>
      </c>
      <c r="C19" s="74">
        <v>0.6</v>
      </c>
      <c r="D19" s="74"/>
      <c r="G19" s="70" t="s">
        <v>41</v>
      </c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</row>
    <row r="20" spans="2:18">
      <c r="B20" s="17" t="s">
        <v>42</v>
      </c>
      <c r="C20" s="74">
        <v>0.12</v>
      </c>
      <c r="D20" s="74" t="s">
        <v>43</v>
      </c>
      <c r="G20" s="70" t="s">
        <v>44</v>
      </c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</row>
    <row r="21" spans="2:18">
      <c r="B21" s="17" t="s">
        <v>45</v>
      </c>
      <c r="C21" s="18" t="s">
        <v>46</v>
      </c>
      <c r="D21" s="19"/>
      <c r="G21" s="75" t="s">
        <v>47</v>
      </c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</row>
    <row r="22" spans="2:18">
      <c r="B22" s="76" t="s">
        <v>48</v>
      </c>
      <c r="C22" s="65"/>
      <c r="D22" s="76"/>
      <c r="G22" s="70" t="s">
        <v>49</v>
      </c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98"/>
    </row>
    <row r="23" spans="7:18">
      <c r="G23" s="68" t="s">
        <v>50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</row>
    <row r="25" spans="7:9">
      <c r="G25" s="64" t="s">
        <v>51</v>
      </c>
      <c r="H25" s="77"/>
      <c r="I25" s="93"/>
    </row>
    <row r="26" spans="7:8">
      <c r="G26" s="64" t="s">
        <v>52</v>
      </c>
      <c r="H26" s="78"/>
    </row>
    <row r="28" spans="7:18">
      <c r="G28" s="79" t="s">
        <v>53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</row>
    <row r="29" spans="7:18">
      <c r="G29" s="79" t="s">
        <v>54</v>
      </c>
      <c r="H29" s="79" t="s">
        <v>55</v>
      </c>
      <c r="I29" s="79"/>
      <c r="J29" s="79"/>
      <c r="K29" s="79" t="s">
        <v>56</v>
      </c>
      <c r="L29" s="79"/>
      <c r="M29" s="79"/>
      <c r="N29" s="79"/>
      <c r="O29" s="94" t="s">
        <v>57</v>
      </c>
      <c r="P29" s="94"/>
      <c r="Q29" s="94"/>
      <c r="R29" s="94"/>
    </row>
    <row r="30" spans="7:18">
      <c r="G30" s="80">
        <f>SUM(I18:R18)</f>
        <v>0</v>
      </c>
      <c r="H30" s="81">
        <f>H20-G30</f>
        <v>0</v>
      </c>
      <c r="I30" s="81"/>
      <c r="J30" s="81"/>
      <c r="K30" s="95">
        <f>C17-H30</f>
        <v>80000</v>
      </c>
      <c r="L30" s="95"/>
      <c r="M30" s="95"/>
      <c r="N30" s="95"/>
      <c r="O30" s="96">
        <f>C14*K30</f>
        <v>28000</v>
      </c>
      <c r="P30" s="96"/>
      <c r="Q30" s="96"/>
      <c r="R30" s="96"/>
    </row>
    <row r="33" spans="1:18">
      <c r="A33" s="82" t="s">
        <v>58</v>
      </c>
      <c r="B33" s="83">
        <f>C20</f>
        <v>0.12</v>
      </c>
      <c r="G33" s="84" t="s">
        <v>59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</row>
    <row r="34" spans="1:18">
      <c r="A34" s="82" t="s">
        <v>60</v>
      </c>
      <c r="B34" s="85"/>
      <c r="C34" s="85"/>
      <c r="D34" s="86"/>
      <c r="E34" s="86"/>
      <c r="G34" s="64" t="s">
        <v>2</v>
      </c>
      <c r="H34" s="65">
        <v>0</v>
      </c>
      <c r="I34" s="65">
        <v>1</v>
      </c>
      <c r="J34" s="65">
        <v>2</v>
      </c>
      <c r="K34" s="65">
        <v>3</v>
      </c>
      <c r="L34" s="65">
        <v>4</v>
      </c>
      <c r="M34" s="65">
        <v>5</v>
      </c>
      <c r="N34" s="65">
        <v>6</v>
      </c>
      <c r="O34" s="65">
        <v>7</v>
      </c>
      <c r="P34" s="65">
        <v>8</v>
      </c>
      <c r="Q34" s="65">
        <v>9</v>
      </c>
      <c r="R34" s="65">
        <v>10</v>
      </c>
    </row>
    <row r="35" spans="1:18">
      <c r="A35" s="82" t="s">
        <v>61</v>
      </c>
      <c r="C35" s="82"/>
      <c r="D35" s="82"/>
      <c r="E35" s="82"/>
      <c r="G35" s="68" t="s">
        <v>5</v>
      </c>
      <c r="H35" s="69"/>
      <c r="I35" s="69">
        <f>I4</f>
        <v>0</v>
      </c>
      <c r="J35" s="69">
        <f t="shared" ref="J35:R35" si="0">J4</f>
        <v>0</v>
      </c>
      <c r="K35" s="69">
        <f t="shared" si="0"/>
        <v>0</v>
      </c>
      <c r="L35" s="69">
        <f t="shared" si="0"/>
        <v>0</v>
      </c>
      <c r="M35" s="69">
        <f t="shared" si="0"/>
        <v>0</v>
      </c>
      <c r="N35" s="69">
        <f t="shared" si="0"/>
        <v>0</v>
      </c>
      <c r="O35" s="69">
        <f t="shared" si="0"/>
        <v>0</v>
      </c>
      <c r="P35" s="69">
        <f t="shared" si="0"/>
        <v>0</v>
      </c>
      <c r="Q35" s="69">
        <f t="shared" si="0"/>
        <v>0</v>
      </c>
      <c r="R35" s="69">
        <f t="shared" si="0"/>
        <v>0</v>
      </c>
    </row>
    <row r="36" spans="1:18">
      <c r="A36" s="65" t="s">
        <v>62</v>
      </c>
      <c r="B36" s="87" t="s">
        <v>63</v>
      </c>
      <c r="C36" s="87" t="s">
        <v>62</v>
      </c>
      <c r="D36" s="87" t="s">
        <v>45</v>
      </c>
      <c r="E36" s="87" t="s">
        <v>58</v>
      </c>
      <c r="G36" s="70" t="s">
        <v>7</v>
      </c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</row>
    <row r="37" spans="1:18">
      <c r="A37" s="65">
        <v>0</v>
      </c>
      <c r="B37" s="31"/>
      <c r="C37" s="31"/>
      <c r="D37" s="31"/>
      <c r="E37" s="31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</row>
    <row r="38" spans="1:18">
      <c r="A38" s="87">
        <v>1</v>
      </c>
      <c r="B38" s="31"/>
      <c r="C38" s="31"/>
      <c r="D38" s="31"/>
      <c r="E38" s="31"/>
      <c r="G38" s="70" t="s">
        <v>12</v>
      </c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</row>
    <row r="39" spans="1:18">
      <c r="A39" s="65">
        <v>2</v>
      </c>
      <c r="B39" s="31"/>
      <c r="C39" s="31"/>
      <c r="D39" s="31"/>
      <c r="E39" s="31"/>
      <c r="G39" s="70" t="s">
        <v>15</v>
      </c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</row>
    <row r="40" spans="1:18">
      <c r="A40" s="65">
        <v>3</v>
      </c>
      <c r="B40" s="31"/>
      <c r="C40" s="31"/>
      <c r="D40" s="31"/>
      <c r="E40" s="31"/>
      <c r="G40" s="68" t="s">
        <v>18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</row>
    <row r="41" spans="1:18">
      <c r="A41" s="65">
        <v>4</v>
      </c>
      <c r="B41" s="31"/>
      <c r="C41" s="31"/>
      <c r="D41" s="31"/>
      <c r="E41" s="31"/>
      <c r="G41" s="70" t="s">
        <v>21</v>
      </c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</row>
    <row r="42" spans="1:18">
      <c r="A42" s="88"/>
      <c r="B42" s="89"/>
      <c r="C42" s="89"/>
      <c r="D42" s="89"/>
      <c r="E42" s="89"/>
      <c r="G42" s="70" t="s">
        <v>23</v>
      </c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3:18">
      <c r="C43" s="90"/>
      <c r="G43" s="70" t="s">
        <v>25</v>
      </c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7:18">
      <c r="G44" s="68" t="s">
        <v>27</v>
      </c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</row>
    <row r="45" spans="7:18">
      <c r="G45" s="70" t="s">
        <v>64</v>
      </c>
      <c r="H45" s="71"/>
      <c r="I45" s="97"/>
      <c r="J45" s="97"/>
      <c r="K45" s="97"/>
      <c r="L45" s="97"/>
      <c r="M45" s="97"/>
      <c r="N45" s="97"/>
      <c r="O45" s="71"/>
      <c r="P45" s="71"/>
      <c r="Q45" s="71"/>
      <c r="R45" s="71"/>
    </row>
    <row r="46" spans="7:18">
      <c r="G46" s="68" t="s">
        <v>31</v>
      </c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</row>
    <row r="47" spans="7:18">
      <c r="G47" s="70" t="s">
        <v>34</v>
      </c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</row>
    <row r="48" spans="7:18">
      <c r="G48" s="68" t="s">
        <v>36</v>
      </c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</row>
    <row r="49" spans="7:18">
      <c r="G49" s="70" t="s">
        <v>39</v>
      </c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</row>
    <row r="50" spans="7:18">
      <c r="G50" s="70" t="s">
        <v>41</v>
      </c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</row>
    <row r="51" spans="7:18">
      <c r="G51" s="70" t="s">
        <v>65</v>
      </c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</row>
    <row r="52" spans="7:18">
      <c r="G52" s="75" t="s">
        <v>66</v>
      </c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</row>
    <row r="53" spans="7:18">
      <c r="G53" s="75" t="s">
        <v>67</v>
      </c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</row>
    <row r="54" spans="7:18">
      <c r="G54" s="70" t="s">
        <v>49</v>
      </c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98"/>
    </row>
    <row r="55" spans="7:18">
      <c r="G55" s="68" t="s">
        <v>50</v>
      </c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</row>
    <row r="57" spans="7:8">
      <c r="G57" s="64" t="s">
        <v>51</v>
      </c>
      <c r="H57" s="91"/>
    </row>
    <row r="58" spans="7:8">
      <c r="G58" s="64" t="s">
        <v>52</v>
      </c>
      <c r="H58" s="92"/>
    </row>
  </sheetData>
  <mergeCells count="10">
    <mergeCell ref="G1:R1"/>
    <mergeCell ref="C21:D21"/>
    <mergeCell ref="G28:R28"/>
    <mergeCell ref="H29:J29"/>
    <mergeCell ref="K29:N29"/>
    <mergeCell ref="O29:R29"/>
    <mergeCell ref="H30:J30"/>
    <mergeCell ref="K30:N30"/>
    <mergeCell ref="O30:R30"/>
    <mergeCell ref="G33:R33"/>
  </mergeCells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68"/>
  <sheetViews>
    <sheetView tabSelected="1" zoomScale="85" zoomScaleNormal="85" workbookViewId="0">
      <selection activeCell="H3" sqref="H3:P23"/>
    </sheetView>
  </sheetViews>
  <sheetFormatPr defaultColWidth="9.14285714285714" defaultRowHeight="21"/>
  <cols>
    <col min="1" max="1" width="9.14285714285714" style="1"/>
    <col min="2" max="2" width="9.14285714285714" style="1" customWidth="1"/>
    <col min="3" max="3" width="28.4285714285714" style="1" customWidth="1"/>
    <col min="4" max="4" width="33.5714285714286" style="1" customWidth="1"/>
    <col min="5" max="5" width="27.1428571428571" style="1" customWidth="1"/>
    <col min="6" max="6" width="28.1428571428571" style="1" customWidth="1"/>
    <col min="7" max="7" width="9.14285714285714" style="1"/>
    <col min="8" max="8" width="41.8571428571429" style="1" customWidth="1"/>
    <col min="9" max="9" width="27.7142857142857" style="1" customWidth="1"/>
    <col min="10" max="29" width="28.4285714285714" style="1" customWidth="1"/>
    <col min="30" max="16384" width="9.14285714285714" style="1"/>
  </cols>
  <sheetData>
    <row r="2" spans="8:29">
      <c r="H2" s="2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4:29">
      <c r="D3" s="3" t="s">
        <v>68</v>
      </c>
      <c r="E3" s="4">
        <v>350</v>
      </c>
      <c r="F3" s="5" t="s">
        <v>69</v>
      </c>
      <c r="H3" s="6" t="s">
        <v>2</v>
      </c>
      <c r="I3" s="27">
        <v>0</v>
      </c>
      <c r="J3" s="27">
        <v>1</v>
      </c>
      <c r="K3" s="27">
        <v>2</v>
      </c>
      <c r="L3" s="27">
        <v>3</v>
      </c>
      <c r="M3" s="27">
        <v>4</v>
      </c>
      <c r="N3" s="27">
        <v>5</v>
      </c>
      <c r="O3" s="27">
        <v>6</v>
      </c>
      <c r="P3" s="27">
        <v>7</v>
      </c>
      <c r="Q3" s="27">
        <v>8</v>
      </c>
      <c r="R3" s="27">
        <v>9</v>
      </c>
      <c r="S3" s="27">
        <v>10</v>
      </c>
      <c r="T3" s="27">
        <v>11</v>
      </c>
      <c r="U3" s="27">
        <v>12</v>
      </c>
      <c r="V3" s="27">
        <v>13</v>
      </c>
      <c r="W3" s="27">
        <v>14</v>
      </c>
      <c r="X3" s="27">
        <v>15</v>
      </c>
      <c r="Y3" s="27">
        <v>16</v>
      </c>
      <c r="Z3" s="27">
        <v>17</v>
      </c>
      <c r="AA3" s="27">
        <v>18</v>
      </c>
      <c r="AB3" s="27">
        <v>19</v>
      </c>
      <c r="AC3" s="27">
        <v>20</v>
      </c>
    </row>
    <row r="4" spans="4:29">
      <c r="D4" s="3" t="s">
        <v>70</v>
      </c>
      <c r="E4" s="7">
        <v>2100000</v>
      </c>
      <c r="F4" s="5" t="s">
        <v>71</v>
      </c>
      <c r="H4" s="8" t="s">
        <v>5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4:29">
      <c r="D5" s="3" t="s">
        <v>72</v>
      </c>
      <c r="E5" s="7">
        <v>250000</v>
      </c>
      <c r="F5" s="5" t="s">
        <v>73</v>
      </c>
      <c r="H5" s="9" t="s">
        <v>7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4:29">
      <c r="D6" s="3" t="s">
        <v>74</v>
      </c>
      <c r="E6" s="10">
        <v>3800000</v>
      </c>
      <c r="F6" s="5" t="s">
        <v>75</v>
      </c>
      <c r="H6" s="8" t="s">
        <v>9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spans="4:29">
      <c r="D7" s="3" t="s">
        <v>76</v>
      </c>
      <c r="E7" s="11">
        <v>30</v>
      </c>
      <c r="F7" s="5" t="s">
        <v>77</v>
      </c>
      <c r="H7" s="9" t="s">
        <v>12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4:29">
      <c r="D8" s="3" t="s">
        <v>78</v>
      </c>
      <c r="E8" s="11">
        <v>4</v>
      </c>
      <c r="F8" s="5" t="s">
        <v>77</v>
      </c>
      <c r="H8" s="9" t="s">
        <v>15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4:29">
      <c r="D9" s="3" t="s">
        <v>79</v>
      </c>
      <c r="E9" s="11">
        <v>1000000</v>
      </c>
      <c r="F9" s="5" t="s">
        <v>80</v>
      </c>
      <c r="H9" s="8" t="s">
        <v>18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spans="4:29">
      <c r="D10" s="3" t="s">
        <v>81</v>
      </c>
      <c r="E10" s="10">
        <v>500000000</v>
      </c>
      <c r="F10" s="5" t="s">
        <v>82</v>
      </c>
      <c r="H10" s="9" t="s">
        <v>21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4:29">
      <c r="D11" s="3" t="s">
        <v>83</v>
      </c>
      <c r="E11" s="11">
        <v>0.06</v>
      </c>
      <c r="F11" s="5" t="s">
        <v>84</v>
      </c>
      <c r="H11" s="9" t="s">
        <v>23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4:29">
      <c r="D12" s="3" t="s">
        <v>24</v>
      </c>
      <c r="E12" s="11">
        <v>1200000</v>
      </c>
      <c r="F12" s="5" t="s">
        <v>80</v>
      </c>
      <c r="H12" s="9" t="s">
        <v>25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4:29">
      <c r="D13" s="3" t="s">
        <v>85</v>
      </c>
      <c r="E13" s="4" t="s">
        <v>86</v>
      </c>
      <c r="F13" s="12"/>
      <c r="H13" s="8" t="s">
        <v>27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 spans="4:29">
      <c r="D14" s="3" t="s">
        <v>87</v>
      </c>
      <c r="E14" s="11">
        <v>60000000</v>
      </c>
      <c r="F14" s="5"/>
      <c r="H14" s="9" t="s">
        <v>64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4:29">
      <c r="D15" s="3" t="s">
        <v>88</v>
      </c>
      <c r="E15" s="13">
        <v>0.15</v>
      </c>
      <c r="F15" s="5"/>
      <c r="H15" s="8" t="s">
        <v>31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 spans="4:29">
      <c r="D16" s="3" t="s">
        <v>89</v>
      </c>
      <c r="E16" s="14">
        <v>0.04</v>
      </c>
      <c r="F16" s="15"/>
      <c r="H16" s="9" t="s">
        <v>34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4:29">
      <c r="D17" s="3" t="s">
        <v>90</v>
      </c>
      <c r="E17" s="16">
        <v>0.35</v>
      </c>
      <c r="F17" s="5"/>
      <c r="H17" s="8" t="s">
        <v>36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 spans="4:29">
      <c r="D18" s="17" t="s">
        <v>91</v>
      </c>
      <c r="E18" s="18">
        <v>0.18</v>
      </c>
      <c r="F18" s="19"/>
      <c r="H18" s="9" t="s">
        <v>39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4:29">
      <c r="D19" s="3" t="s">
        <v>92</v>
      </c>
      <c r="E19" s="20">
        <v>0.7</v>
      </c>
      <c r="F19" s="21" t="s">
        <v>93</v>
      </c>
      <c r="H19" s="9" t="s">
        <v>41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4:29">
      <c r="D20" s="3" t="s">
        <v>94</v>
      </c>
      <c r="E20" s="22">
        <v>10</v>
      </c>
      <c r="F20" s="5" t="s">
        <v>33</v>
      </c>
      <c r="H20" s="9" t="s">
        <v>65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4:29">
      <c r="D21" s="3" t="s">
        <v>58</v>
      </c>
      <c r="E21" s="23">
        <v>0.14</v>
      </c>
      <c r="F21" s="24" t="s">
        <v>43</v>
      </c>
      <c r="H21" s="25" t="s">
        <v>66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4:29">
      <c r="D22" s="3" t="s">
        <v>95</v>
      </c>
      <c r="E22" s="3"/>
      <c r="F22" s="3"/>
      <c r="H22" s="9" t="s">
        <v>49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59"/>
    </row>
    <row r="23" spans="8:29">
      <c r="H23" s="8" t="s">
        <v>50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 spans="3:8">
      <c r="C24" s="26"/>
      <c r="D24" s="27" t="s">
        <v>96</v>
      </c>
      <c r="E24" s="27"/>
      <c r="F24" s="28" t="s">
        <v>77</v>
      </c>
      <c r="H24" s="29"/>
    </row>
    <row r="25" spans="3:9">
      <c r="C25" s="30"/>
      <c r="D25" s="31" t="s">
        <v>97</v>
      </c>
      <c r="E25" s="31"/>
      <c r="F25" s="31"/>
      <c r="H25" s="6" t="s">
        <v>51</v>
      </c>
      <c r="I25" s="53"/>
    </row>
    <row r="26" spans="3:9">
      <c r="C26" s="30"/>
      <c r="D26" s="32"/>
      <c r="E26" s="32"/>
      <c r="F26" s="33"/>
      <c r="H26" s="6" t="s">
        <v>52</v>
      </c>
      <c r="I26" s="54"/>
    </row>
    <row r="27" spans="8:8">
      <c r="H27" s="29"/>
    </row>
    <row r="28" spans="8:14">
      <c r="H28" s="34" t="s">
        <v>53</v>
      </c>
      <c r="I28" s="55"/>
      <c r="J28" s="55"/>
      <c r="K28" s="55"/>
      <c r="L28" s="55"/>
      <c r="M28" s="55"/>
      <c r="N28" s="56"/>
    </row>
    <row r="29" spans="8:14">
      <c r="H29" s="35" t="s">
        <v>54</v>
      </c>
      <c r="I29" s="35" t="s">
        <v>55</v>
      </c>
      <c r="J29" s="35"/>
      <c r="K29" s="35" t="s">
        <v>56</v>
      </c>
      <c r="L29" s="35"/>
      <c r="M29" s="35" t="s">
        <v>57</v>
      </c>
      <c r="N29" s="35"/>
    </row>
    <row r="30" spans="6:14">
      <c r="F30" s="36"/>
      <c r="H30" s="37"/>
      <c r="I30" s="11"/>
      <c r="J30" s="57"/>
      <c r="K30" s="11"/>
      <c r="L30" s="57"/>
      <c r="M30" s="11"/>
      <c r="N30" s="57"/>
    </row>
    <row r="31" spans="8:8">
      <c r="H31" s="29"/>
    </row>
    <row r="32" spans="3:8">
      <c r="C32" s="27" t="s">
        <v>98</v>
      </c>
      <c r="D32" s="25"/>
      <c r="H32" s="29"/>
    </row>
    <row r="33" spans="3:29">
      <c r="C33" s="27" t="s">
        <v>61</v>
      </c>
      <c r="D33" s="27" t="s">
        <v>99</v>
      </c>
      <c r="H33" s="38" t="s">
        <v>100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3:29">
      <c r="C34" s="39">
        <f>E19</f>
        <v>0.7</v>
      </c>
      <c r="D34" s="40"/>
      <c r="H34" s="6" t="s">
        <v>2</v>
      </c>
      <c r="I34" s="27">
        <v>0</v>
      </c>
      <c r="J34" s="27">
        <v>1</v>
      </c>
      <c r="K34" s="27">
        <v>2</v>
      </c>
      <c r="L34" s="27">
        <v>3</v>
      </c>
      <c r="M34" s="27">
        <v>4</v>
      </c>
      <c r="N34" s="27">
        <v>5</v>
      </c>
      <c r="O34" s="27">
        <v>6</v>
      </c>
      <c r="P34" s="27">
        <v>7</v>
      </c>
      <c r="Q34" s="27">
        <v>8</v>
      </c>
      <c r="R34" s="27">
        <v>9</v>
      </c>
      <c r="S34" s="27">
        <v>10</v>
      </c>
      <c r="T34" s="27">
        <v>11</v>
      </c>
      <c r="U34" s="27">
        <v>12</v>
      </c>
      <c r="V34" s="27">
        <v>13</v>
      </c>
      <c r="W34" s="27">
        <v>14</v>
      </c>
      <c r="X34" s="27">
        <v>15</v>
      </c>
      <c r="Y34" s="27">
        <v>16</v>
      </c>
      <c r="Z34" s="27">
        <v>17</v>
      </c>
      <c r="AA34" s="27">
        <v>18</v>
      </c>
      <c r="AB34" s="27">
        <v>19</v>
      </c>
      <c r="AC34" s="27">
        <v>20</v>
      </c>
    </row>
    <row r="35" spans="3:29">
      <c r="C35" s="27" t="s">
        <v>58</v>
      </c>
      <c r="D35" s="41">
        <f>E21</f>
        <v>0.14</v>
      </c>
      <c r="H35" s="8" t="s">
        <v>5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4:29">
      <c r="D36" s="42"/>
      <c r="E36" s="42"/>
      <c r="F36" s="42"/>
      <c r="H36" s="6" t="s">
        <v>7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2:29">
      <c r="B37" s="27" t="s">
        <v>101</v>
      </c>
      <c r="C37" s="27" t="s">
        <v>63</v>
      </c>
      <c r="D37" s="27" t="s">
        <v>62</v>
      </c>
      <c r="E37" s="27" t="s">
        <v>45</v>
      </c>
      <c r="F37" s="27" t="s">
        <v>58</v>
      </c>
      <c r="H37" s="8" t="s">
        <v>9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 spans="2:29">
      <c r="B38" s="27">
        <v>0</v>
      </c>
      <c r="C38" s="43"/>
      <c r="D38" s="43"/>
      <c r="E38" s="43"/>
      <c r="F38" s="43"/>
      <c r="H38" s="6" t="s">
        <v>12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2:29">
      <c r="B39" s="27">
        <v>1</v>
      </c>
      <c r="C39" s="43"/>
      <c r="D39" s="43"/>
      <c r="E39" s="43"/>
      <c r="F39" s="43"/>
      <c r="H39" s="6" t="s">
        <v>15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2:29">
      <c r="B40" s="27">
        <v>2</v>
      </c>
      <c r="C40" s="43"/>
      <c r="D40" s="43"/>
      <c r="E40" s="43"/>
      <c r="F40" s="43"/>
      <c r="H40" s="8" t="s">
        <v>18</v>
      </c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</row>
    <row r="41" spans="2:29">
      <c r="B41" s="27">
        <v>3</v>
      </c>
      <c r="C41" s="43"/>
      <c r="D41" s="43"/>
      <c r="E41" s="43"/>
      <c r="F41" s="43"/>
      <c r="H41" s="6" t="s">
        <v>21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2:29">
      <c r="B42" s="27">
        <v>4</v>
      </c>
      <c r="C42" s="43"/>
      <c r="D42" s="43"/>
      <c r="E42" s="43"/>
      <c r="F42" s="43"/>
      <c r="H42" s="6" t="s">
        <v>23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2:29">
      <c r="B43" s="27">
        <v>5</v>
      </c>
      <c r="C43" s="43"/>
      <c r="D43" s="43"/>
      <c r="E43" s="43"/>
      <c r="F43" s="43"/>
      <c r="H43" s="6" t="s">
        <v>25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2:29">
      <c r="B44" s="27">
        <v>6</v>
      </c>
      <c r="C44" s="43"/>
      <c r="D44" s="43"/>
      <c r="E44" s="43"/>
      <c r="F44" s="43"/>
      <c r="H44" s="8" t="s">
        <v>27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45" spans="2:29">
      <c r="B45" s="27">
        <v>7</v>
      </c>
      <c r="C45" s="43"/>
      <c r="D45" s="43"/>
      <c r="E45" s="43"/>
      <c r="F45" s="43"/>
      <c r="H45" s="6" t="s">
        <v>64</v>
      </c>
      <c r="I45" s="37"/>
      <c r="J45" s="43"/>
      <c r="K45" s="43"/>
      <c r="L45" s="43"/>
      <c r="M45" s="43"/>
      <c r="N45" s="43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2:29">
      <c r="B46" s="27">
        <v>8</v>
      </c>
      <c r="C46" s="43"/>
      <c r="D46" s="43"/>
      <c r="E46" s="43"/>
      <c r="F46" s="43"/>
      <c r="H46" s="44" t="s">
        <v>31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</row>
    <row r="47" spans="2:29">
      <c r="B47" s="27">
        <v>9</v>
      </c>
      <c r="C47" s="43"/>
      <c r="D47" s="43"/>
      <c r="E47" s="43"/>
      <c r="F47" s="43"/>
      <c r="H47" s="6" t="s">
        <v>34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2:29">
      <c r="B48" s="27">
        <v>10</v>
      </c>
      <c r="C48" s="43"/>
      <c r="D48" s="43"/>
      <c r="E48" s="43"/>
      <c r="F48" s="43"/>
      <c r="H48" s="8" t="s">
        <v>36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</row>
    <row r="49" spans="4:29">
      <c r="D49" s="45"/>
      <c r="H49" s="6" t="s">
        <v>39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4:29">
      <c r="D50" s="45"/>
      <c r="H50" s="6" t="s">
        <v>41</v>
      </c>
      <c r="I50" s="37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spans="8:29">
      <c r="H51" s="6" t="s">
        <v>65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3:29">
      <c r="C52" s="26"/>
      <c r="D52" s="30"/>
      <c r="E52" s="30"/>
      <c r="F52" s="46"/>
      <c r="H52" s="3" t="s">
        <v>66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3:29">
      <c r="C53" s="30"/>
      <c r="D53" s="47"/>
      <c r="E53" s="48"/>
      <c r="F53" s="49"/>
      <c r="H53" s="3" t="s">
        <v>67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3:29">
      <c r="C54" s="30"/>
      <c r="D54" s="32"/>
      <c r="E54" s="50"/>
      <c r="F54" s="49"/>
      <c r="H54" s="6" t="s">
        <v>49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59"/>
    </row>
    <row r="55" spans="8:29">
      <c r="H55" s="8" t="s">
        <v>50</v>
      </c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 spans="8:29">
      <c r="H56" s="51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 spans="8:29">
      <c r="H57" s="6" t="s">
        <v>51</v>
      </c>
      <c r="I57" s="58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8:29">
      <c r="H58" s="6" t="s">
        <v>52</v>
      </c>
      <c r="I58" s="5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 spans="8:29">
      <c r="H59" s="5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 spans="8:29"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 spans="8:29"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 spans="8:29"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 spans="8:29"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  <row r="64" spans="8:29"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</row>
    <row r="65" spans="8:29"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</row>
    <row r="66" spans="8:29"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</row>
    <row r="67" spans="8:29"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</row>
    <row r="68" spans="8:29"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</row>
  </sheetData>
  <mergeCells count="11">
    <mergeCell ref="H2:AC2"/>
    <mergeCell ref="E18:F18"/>
    <mergeCell ref="D25:F25"/>
    <mergeCell ref="H28:N28"/>
    <mergeCell ref="I29:J29"/>
    <mergeCell ref="K29:L29"/>
    <mergeCell ref="M29:N29"/>
    <mergeCell ref="I30:J30"/>
    <mergeCell ref="K30:L30"/>
    <mergeCell ref="M30:N30"/>
    <mergeCell ref="H33:AC33"/>
  </mergeCells>
  <pageMargins left="0.511811024" right="0.511811024" top="0.787401575" bottom="0.787401575" header="0.31496062" footer="0.31496062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pehen</cp:lastModifiedBy>
  <dcterms:created xsi:type="dcterms:W3CDTF">2015-11-03T13:50:00Z</dcterms:created>
  <dcterms:modified xsi:type="dcterms:W3CDTF">2025-06-26T02:57:30Z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242E292E0D744E089142B852DB029432_12</vt:lpwstr>
  </property>
  <property fmtid="{D5CDD505-2E9C-101B-9397-08002B2CF9AE}" pid="3" name="KSOProductBuildVer">
    <vt:lpwstr>1046-12.2.0.21546</vt:lpwstr>
  </property>
</Properties>
</file>