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randa\EPR502\Aulas 2020\Aula 14 EPR502\Aula Virtual\"/>
    </mc:Choice>
  </mc:AlternateContent>
  <bookViews>
    <workbookView xWindow="0" yWindow="0" windowWidth="28800" windowHeight="12435"/>
  </bookViews>
  <sheets>
    <sheet name="Ex1" sheetId="7" r:id="rId1"/>
    <sheet name="Ex2" sheetId="12" r:id="rId2"/>
  </sheets>
  <calcPr calcId="152511" concurrentCalc="0" concurrentManualCount="4"/>
</workbook>
</file>

<file path=xl/calcChain.xml><?xml version="1.0" encoding="utf-8"?>
<calcChain xmlns="http://schemas.openxmlformats.org/spreadsheetml/2006/main">
  <c r="H58" i="7" l="1"/>
  <c r="D35" i="12"/>
  <c r="F40" i="12"/>
  <c r="D40" i="12"/>
  <c r="I55" i="12"/>
  <c r="J50" i="12" a="1"/>
  <c r="J50" i="12"/>
  <c r="K50" i="12"/>
  <c r="L50" i="12"/>
  <c r="M50" i="12"/>
  <c r="O50" i="12"/>
  <c r="P50" i="12"/>
  <c r="Q50" i="12"/>
  <c r="S50" i="12"/>
  <c r="AC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J49" i="12"/>
  <c r="C40" i="12"/>
  <c r="E40" i="12"/>
  <c r="C41" i="12"/>
  <c r="E41" i="12"/>
  <c r="C42" i="12"/>
  <c r="E42" i="12"/>
  <c r="C43" i="12"/>
  <c r="E43" i="12"/>
  <c r="C44" i="12"/>
  <c r="E44" i="12"/>
  <c r="C45" i="12"/>
  <c r="E45" i="12"/>
  <c r="C46" i="12"/>
  <c r="E46" i="12"/>
  <c r="C47" i="12"/>
  <c r="E47" i="12"/>
  <c r="C48" i="12"/>
  <c r="E48" i="12"/>
  <c r="C39" i="12"/>
  <c r="F39" i="12"/>
  <c r="D39" i="12"/>
  <c r="E39" i="12"/>
  <c r="I53" i="12"/>
  <c r="C38" i="12"/>
  <c r="K35" i="12"/>
  <c r="O35" i="12"/>
  <c r="L36" i="12"/>
  <c r="T36" i="12"/>
  <c r="AB36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L40" i="12"/>
  <c r="T40" i="12"/>
  <c r="AB40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L44" i="12"/>
  <c r="T44" i="12"/>
  <c r="T46" i="12"/>
  <c r="T47" i="12"/>
  <c r="T48" i="12"/>
  <c r="T55" i="12"/>
  <c r="AB44" i="12"/>
  <c r="AB46" i="12"/>
  <c r="AB47" i="12"/>
  <c r="AB48" i="12"/>
  <c r="AB55" i="12"/>
  <c r="J38" i="12"/>
  <c r="J39" i="12"/>
  <c r="J41" i="12"/>
  <c r="J42" i="12"/>
  <c r="J43" i="12"/>
  <c r="AC54" i="12"/>
  <c r="I52" i="12"/>
  <c r="I51" i="12"/>
  <c r="D34" i="12"/>
  <c r="I23" i="12"/>
  <c r="AC22" i="12"/>
  <c r="M30" i="12"/>
  <c r="K30" i="12"/>
  <c r="I30" i="12"/>
  <c r="H30" i="12"/>
  <c r="AB18" i="12"/>
  <c r="AC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J18" i="12"/>
  <c r="K4" i="12"/>
  <c r="K5" i="12"/>
  <c r="K6" i="12"/>
  <c r="K9" i="12"/>
  <c r="K13" i="12"/>
  <c r="K15" i="12"/>
  <c r="L4" i="12"/>
  <c r="L5" i="12"/>
  <c r="L6" i="12"/>
  <c r="L9" i="12"/>
  <c r="L13" i="12"/>
  <c r="L15" i="12"/>
  <c r="M4" i="12"/>
  <c r="M35" i="12"/>
  <c r="N4" i="12"/>
  <c r="N35" i="12"/>
  <c r="O4" i="12"/>
  <c r="O5" i="12"/>
  <c r="O6" i="12"/>
  <c r="O9" i="12"/>
  <c r="O13" i="12"/>
  <c r="O15" i="12"/>
  <c r="P4" i="12"/>
  <c r="P5" i="12"/>
  <c r="P36" i="12"/>
  <c r="Q4" i="12"/>
  <c r="Q35" i="12"/>
  <c r="R4" i="12"/>
  <c r="R5" i="12"/>
  <c r="R36" i="12"/>
  <c r="S4" i="12"/>
  <c r="S5" i="12"/>
  <c r="S6" i="12"/>
  <c r="S9" i="12"/>
  <c r="S13" i="12"/>
  <c r="S15" i="12"/>
  <c r="T4" i="12"/>
  <c r="T5" i="12"/>
  <c r="T6" i="12"/>
  <c r="T9" i="12"/>
  <c r="T13" i="12"/>
  <c r="T15" i="12"/>
  <c r="U4" i="12"/>
  <c r="U35" i="12"/>
  <c r="V4" i="12"/>
  <c r="V35" i="12"/>
  <c r="W4" i="12"/>
  <c r="W5" i="12"/>
  <c r="W6" i="12"/>
  <c r="W9" i="12"/>
  <c r="W13" i="12"/>
  <c r="W15" i="12"/>
  <c r="X4" i="12"/>
  <c r="X35" i="12"/>
  <c r="Y4" i="12"/>
  <c r="Y35" i="12"/>
  <c r="Z4" i="12"/>
  <c r="Z5" i="12"/>
  <c r="Z36" i="12"/>
  <c r="AA4" i="12"/>
  <c r="AA5" i="12"/>
  <c r="AA6" i="12"/>
  <c r="AA9" i="12"/>
  <c r="AA13" i="12"/>
  <c r="AA15" i="12"/>
  <c r="AB4" i="12"/>
  <c r="AB5" i="12"/>
  <c r="AB6" i="12"/>
  <c r="AB9" i="12"/>
  <c r="AB13" i="12"/>
  <c r="AB15" i="12"/>
  <c r="AC4" i="12"/>
  <c r="AC35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J12" i="12"/>
  <c r="E22" i="12"/>
  <c r="J11" i="12"/>
  <c r="J8" i="12"/>
  <c r="J7" i="12"/>
  <c r="J4" i="12"/>
  <c r="J35" i="12"/>
  <c r="I21" i="12"/>
  <c r="I20" i="12"/>
  <c r="AA35" i="12"/>
  <c r="W35" i="12"/>
  <c r="S35" i="12"/>
  <c r="AA44" i="12"/>
  <c r="AA46" i="12"/>
  <c r="AA47" i="12"/>
  <c r="AA48" i="12"/>
  <c r="AA55" i="12"/>
  <c r="W44" i="12"/>
  <c r="W46" i="12"/>
  <c r="W47" i="12"/>
  <c r="W48" i="12"/>
  <c r="W55" i="12"/>
  <c r="S44" i="12"/>
  <c r="O44" i="12"/>
  <c r="K44" i="12"/>
  <c r="AA40" i="12"/>
  <c r="W40" i="12"/>
  <c r="S40" i="12"/>
  <c r="O40" i="12"/>
  <c r="K40" i="12"/>
  <c r="AB37" i="12"/>
  <c r="T37" i="12"/>
  <c r="L37" i="12"/>
  <c r="AA36" i="12"/>
  <c r="W36" i="12"/>
  <c r="S36" i="12"/>
  <c r="O36" i="12"/>
  <c r="K36" i="12"/>
  <c r="Z35" i="12"/>
  <c r="R35" i="12"/>
  <c r="AA37" i="12"/>
  <c r="W37" i="12"/>
  <c r="S37" i="12"/>
  <c r="O37" i="12"/>
  <c r="K37" i="12"/>
  <c r="AB35" i="12"/>
  <c r="T35" i="12"/>
  <c r="P35" i="12"/>
  <c r="L35" i="12"/>
  <c r="F46" i="12"/>
  <c r="D46" i="12"/>
  <c r="F42" i="12"/>
  <c r="D42" i="12"/>
  <c r="F41" i="12"/>
  <c r="D41" i="12"/>
  <c r="D49" i="12"/>
  <c r="F48" i="12"/>
  <c r="D48" i="12"/>
  <c r="F44" i="12"/>
  <c r="D44" i="12"/>
  <c r="F47" i="12"/>
  <c r="D47" i="12"/>
  <c r="F45" i="12"/>
  <c r="D45" i="12"/>
  <c r="F43" i="12"/>
  <c r="D43" i="12"/>
  <c r="R50" i="12"/>
  <c r="N50" i="12"/>
  <c r="P6" i="12"/>
  <c r="X5" i="12"/>
  <c r="J5" i="12"/>
  <c r="T16" i="12"/>
  <c r="T17" i="12"/>
  <c r="T23" i="12"/>
  <c r="AA16" i="12"/>
  <c r="AA17" i="12"/>
  <c r="AA23" i="12"/>
  <c r="S16" i="12"/>
  <c r="S17" i="12"/>
  <c r="S23" i="12"/>
  <c r="K16" i="12"/>
  <c r="K17" i="12"/>
  <c r="K23" i="12"/>
  <c r="AB16" i="12"/>
  <c r="AB17" i="12"/>
  <c r="AB23" i="12"/>
  <c r="L16" i="12"/>
  <c r="L17" i="12"/>
  <c r="L23" i="12"/>
  <c r="W16" i="12"/>
  <c r="W17" i="12"/>
  <c r="W23" i="12"/>
  <c r="O16" i="12"/>
  <c r="O17" i="12"/>
  <c r="O23" i="12"/>
  <c r="V5" i="12"/>
  <c r="N5" i="12"/>
  <c r="Z6" i="12"/>
  <c r="R6" i="12"/>
  <c r="AC5" i="12"/>
  <c r="Y5" i="12"/>
  <c r="U5" i="12"/>
  <c r="Q5" i="12"/>
  <c r="M5" i="12"/>
  <c r="B34" i="7"/>
  <c r="B37" i="7"/>
  <c r="B38" i="7"/>
  <c r="M36" i="7"/>
  <c r="J41" i="7"/>
  <c r="K41" i="7"/>
  <c r="L41" i="7"/>
  <c r="M41" i="7"/>
  <c r="N41" i="7"/>
  <c r="O41" i="7"/>
  <c r="P41" i="7"/>
  <c r="Q41" i="7"/>
  <c r="R41" i="7"/>
  <c r="I41" i="7"/>
  <c r="J7" i="7"/>
  <c r="J38" i="7"/>
  <c r="K7" i="7"/>
  <c r="K38" i="7"/>
  <c r="L7" i="7"/>
  <c r="L38" i="7"/>
  <c r="M7" i="7"/>
  <c r="M38" i="7"/>
  <c r="N7" i="7"/>
  <c r="N38" i="7"/>
  <c r="O7" i="7"/>
  <c r="O38" i="7"/>
  <c r="P7" i="7"/>
  <c r="P38" i="7"/>
  <c r="Q7" i="7"/>
  <c r="Q38" i="7"/>
  <c r="R7" i="7"/>
  <c r="R38" i="7"/>
  <c r="I7" i="7"/>
  <c r="I38" i="7"/>
  <c r="J4" i="7"/>
  <c r="J35" i="7"/>
  <c r="K4" i="7"/>
  <c r="K35" i="7"/>
  <c r="L4" i="7"/>
  <c r="M4" i="7"/>
  <c r="M5" i="7"/>
  <c r="N4" i="7"/>
  <c r="N35" i="7"/>
  <c r="O4" i="7"/>
  <c r="O35" i="7"/>
  <c r="P4" i="7"/>
  <c r="Q4" i="7"/>
  <c r="Q5" i="7"/>
  <c r="Q36" i="7"/>
  <c r="R4" i="7"/>
  <c r="R5" i="7"/>
  <c r="R6" i="7"/>
  <c r="J8" i="7"/>
  <c r="J39" i="7"/>
  <c r="K8" i="7"/>
  <c r="K39" i="7"/>
  <c r="L8" i="7"/>
  <c r="L39" i="7"/>
  <c r="M8" i="7"/>
  <c r="M39" i="7"/>
  <c r="N8" i="7"/>
  <c r="N39" i="7"/>
  <c r="O8" i="7"/>
  <c r="O39" i="7"/>
  <c r="P8" i="7"/>
  <c r="P39" i="7"/>
  <c r="Q8" i="7"/>
  <c r="Q39" i="7"/>
  <c r="R8" i="7"/>
  <c r="R39" i="7"/>
  <c r="J11" i="7"/>
  <c r="J42" i="7"/>
  <c r="K11" i="7"/>
  <c r="K42" i="7"/>
  <c r="L11" i="7"/>
  <c r="L42" i="7"/>
  <c r="M11" i="7"/>
  <c r="M42" i="7"/>
  <c r="N11" i="7"/>
  <c r="N42" i="7"/>
  <c r="O11" i="7"/>
  <c r="O42" i="7"/>
  <c r="P11" i="7"/>
  <c r="P42" i="7"/>
  <c r="Q11" i="7"/>
  <c r="Q42" i="7"/>
  <c r="R11" i="7"/>
  <c r="R42" i="7"/>
  <c r="O12" i="7"/>
  <c r="O18" i="7"/>
  <c r="C22" i="7"/>
  <c r="I11" i="7"/>
  <c r="I42" i="7"/>
  <c r="I8" i="7"/>
  <c r="I39" i="7"/>
  <c r="I4" i="7"/>
  <c r="H21" i="7"/>
  <c r="H52" i="7"/>
  <c r="H20" i="7"/>
  <c r="L12" i="7"/>
  <c r="X6" i="12"/>
  <c r="X36" i="12"/>
  <c r="M6" i="12"/>
  <c r="M36" i="12"/>
  <c r="AC6" i="12"/>
  <c r="AC36" i="12"/>
  <c r="V6" i="12"/>
  <c r="V36" i="12"/>
  <c r="Q6" i="12"/>
  <c r="Q36" i="12"/>
  <c r="R9" i="12"/>
  <c r="R37" i="12"/>
  <c r="P9" i="12"/>
  <c r="P37" i="12"/>
  <c r="U6" i="12"/>
  <c r="U36" i="12"/>
  <c r="Z9" i="12"/>
  <c r="Z37" i="12"/>
  <c r="Y6" i="12"/>
  <c r="Y36" i="12"/>
  <c r="N6" i="12"/>
  <c r="N36" i="12"/>
  <c r="J6" i="12"/>
  <c r="J36" i="12"/>
  <c r="J45" i="12" a="1"/>
  <c r="J45" i="12"/>
  <c r="M45" i="12"/>
  <c r="R45" i="12"/>
  <c r="K45" i="12"/>
  <c r="K46" i="12"/>
  <c r="K47" i="12"/>
  <c r="K48" i="12"/>
  <c r="K55" i="12"/>
  <c r="L45" i="12"/>
  <c r="L46" i="12"/>
  <c r="L47" i="12"/>
  <c r="L48" i="12"/>
  <c r="L55" i="12"/>
  <c r="O45" i="12"/>
  <c r="O46" i="12"/>
  <c r="O47" i="12"/>
  <c r="O48" i="12"/>
  <c r="O55" i="12"/>
  <c r="J12" i="7"/>
  <c r="J43" i="7"/>
  <c r="J49" i="7"/>
  <c r="I12" i="7"/>
  <c r="I18" i="7"/>
  <c r="N5" i="7"/>
  <c r="N36" i="7"/>
  <c r="R36" i="7"/>
  <c r="K5" i="7"/>
  <c r="J5" i="7"/>
  <c r="J6" i="7"/>
  <c r="H53" i="7"/>
  <c r="L18" i="7"/>
  <c r="L43" i="7"/>
  <c r="L49" i="7"/>
  <c r="N12" i="7"/>
  <c r="L5" i="7"/>
  <c r="L36" i="7"/>
  <c r="L35" i="7"/>
  <c r="D39" i="7"/>
  <c r="B39" i="7"/>
  <c r="B40" i="7"/>
  <c r="B41" i="7"/>
  <c r="D40" i="7"/>
  <c r="I43" i="7"/>
  <c r="I49" i="7"/>
  <c r="O43" i="7"/>
  <c r="O49" i="7"/>
  <c r="J36" i="7"/>
  <c r="D41" i="7"/>
  <c r="H51" i="7"/>
  <c r="H55" i="7"/>
  <c r="M12" i="7"/>
  <c r="Q12" i="7"/>
  <c r="H23" i="7"/>
  <c r="R12" i="7"/>
  <c r="P5" i="7"/>
  <c r="P36" i="7"/>
  <c r="I35" i="7"/>
  <c r="I5" i="7"/>
  <c r="P12" i="7"/>
  <c r="K12" i="7"/>
  <c r="O5" i="7"/>
  <c r="O36" i="7"/>
  <c r="R9" i="7"/>
  <c r="J18" i="7"/>
  <c r="R37" i="7"/>
  <c r="P35" i="7"/>
  <c r="R35" i="7"/>
  <c r="Q35" i="7"/>
  <c r="M35" i="7"/>
  <c r="Q6" i="7"/>
  <c r="M6" i="7"/>
  <c r="J9" i="12"/>
  <c r="J37" i="12"/>
  <c r="U9" i="12"/>
  <c r="U37" i="12"/>
  <c r="V9" i="12"/>
  <c r="V37" i="12"/>
  <c r="Y9" i="12"/>
  <c r="Y37" i="12"/>
  <c r="R13" i="12"/>
  <c r="R40" i="12"/>
  <c r="M9" i="12"/>
  <c r="M37" i="12"/>
  <c r="N9" i="12"/>
  <c r="N37" i="12"/>
  <c r="Z13" i="12"/>
  <c r="Z40" i="12"/>
  <c r="P13" i="12"/>
  <c r="P40" i="12"/>
  <c r="Q9" i="12"/>
  <c r="Q37" i="12"/>
  <c r="AC9" i="12"/>
  <c r="AC37" i="12"/>
  <c r="X9" i="12"/>
  <c r="X37" i="12"/>
  <c r="S45" i="12"/>
  <c r="S46" i="12"/>
  <c r="S47" i="12"/>
  <c r="S48" i="12"/>
  <c r="S55" i="12"/>
  <c r="P45" i="12"/>
  <c r="Q45" i="12"/>
  <c r="N45" i="12"/>
  <c r="J37" i="7"/>
  <c r="J9" i="7"/>
  <c r="L6" i="7"/>
  <c r="L9" i="7"/>
  <c r="N6" i="7"/>
  <c r="K36" i="7"/>
  <c r="K6" i="7"/>
  <c r="M9" i="7"/>
  <c r="M37" i="7"/>
  <c r="P18" i="7"/>
  <c r="P43" i="7"/>
  <c r="P49" i="7"/>
  <c r="P6" i="7"/>
  <c r="Q43" i="7"/>
  <c r="Q49" i="7"/>
  <c r="Q18" i="7"/>
  <c r="N43" i="7"/>
  <c r="N49" i="7"/>
  <c r="N18" i="7"/>
  <c r="L37" i="7"/>
  <c r="Q9" i="7"/>
  <c r="Q37" i="7"/>
  <c r="R13" i="7"/>
  <c r="R40" i="7"/>
  <c r="I36" i="7"/>
  <c r="I6" i="7"/>
  <c r="R43" i="7"/>
  <c r="R49" i="7"/>
  <c r="R18" i="7"/>
  <c r="K18" i="7"/>
  <c r="K43" i="7"/>
  <c r="K49" i="7"/>
  <c r="O6" i="7"/>
  <c r="M43" i="7"/>
  <c r="M49" i="7"/>
  <c r="M18" i="7"/>
  <c r="I50" i="7" a="1"/>
  <c r="AC13" i="12"/>
  <c r="AC40" i="12"/>
  <c r="N13" i="12"/>
  <c r="N40" i="12"/>
  <c r="R15" i="12"/>
  <c r="R16" i="12"/>
  <c r="R17" i="12"/>
  <c r="R23" i="12"/>
  <c r="R44" i="12"/>
  <c r="R46" i="12"/>
  <c r="R47" i="12"/>
  <c r="R48" i="12"/>
  <c r="R55" i="12"/>
  <c r="U13" i="12"/>
  <c r="U40" i="12"/>
  <c r="X13" i="12"/>
  <c r="X40" i="12"/>
  <c r="Q13" i="12"/>
  <c r="Q40" i="12"/>
  <c r="Z15" i="12"/>
  <c r="Z16" i="12"/>
  <c r="Z17" i="12"/>
  <c r="Z23" i="12"/>
  <c r="Z44" i="12"/>
  <c r="Z46" i="12"/>
  <c r="Z47" i="12"/>
  <c r="Z48" i="12"/>
  <c r="Z55" i="12"/>
  <c r="P15" i="12"/>
  <c r="P16" i="12"/>
  <c r="P17" i="12"/>
  <c r="P23" i="12"/>
  <c r="P44" i="12"/>
  <c r="P46" i="12"/>
  <c r="P47" i="12"/>
  <c r="P48" i="12"/>
  <c r="P55" i="12"/>
  <c r="M13" i="12"/>
  <c r="M40" i="12"/>
  <c r="Y13" i="12"/>
  <c r="Y40" i="12"/>
  <c r="V13" i="12"/>
  <c r="V40" i="12"/>
  <c r="J13" i="12"/>
  <c r="J40" i="12"/>
  <c r="G30" i="7"/>
  <c r="H30" i="7"/>
  <c r="K30" i="7"/>
  <c r="O30" i="7"/>
  <c r="R22" i="7"/>
  <c r="R54" i="7"/>
  <c r="N9" i="7"/>
  <c r="N37" i="7"/>
  <c r="K9" i="7"/>
  <c r="K37" i="7"/>
  <c r="J40" i="7"/>
  <c r="J13" i="7"/>
  <c r="O9" i="7"/>
  <c r="O37" i="7"/>
  <c r="I37" i="7"/>
  <c r="I9" i="7"/>
  <c r="Q13" i="7"/>
  <c r="Q40" i="7"/>
  <c r="L13" i="7"/>
  <c r="L40" i="7"/>
  <c r="P9" i="7"/>
  <c r="P37" i="7"/>
  <c r="I50" i="7"/>
  <c r="L50" i="7"/>
  <c r="K50" i="7"/>
  <c r="J50" i="7"/>
  <c r="M13" i="7"/>
  <c r="M40" i="7"/>
  <c r="R15" i="7"/>
  <c r="R16" i="7"/>
  <c r="R17" i="7"/>
  <c r="R23" i="7"/>
  <c r="R44" i="7"/>
  <c r="R46" i="7"/>
  <c r="C34" i="12"/>
  <c r="U15" i="12"/>
  <c r="U16" i="12"/>
  <c r="U17" i="12"/>
  <c r="U23" i="12"/>
  <c r="U44" i="12"/>
  <c r="U46" i="12"/>
  <c r="U47" i="12"/>
  <c r="U48" i="12"/>
  <c r="U55" i="12"/>
  <c r="X15" i="12"/>
  <c r="X16" i="12"/>
  <c r="X17" i="12"/>
  <c r="X23" i="12"/>
  <c r="X44" i="12"/>
  <c r="X46" i="12"/>
  <c r="X47" i="12"/>
  <c r="X48" i="12"/>
  <c r="X55" i="12"/>
  <c r="V15" i="12"/>
  <c r="V16" i="12"/>
  <c r="V17" i="12"/>
  <c r="V23" i="12"/>
  <c r="V44" i="12"/>
  <c r="V46" i="12"/>
  <c r="M15" i="12"/>
  <c r="M16" i="12"/>
  <c r="M17" i="12"/>
  <c r="M23" i="12"/>
  <c r="M44" i="12"/>
  <c r="M46" i="12"/>
  <c r="M47" i="12"/>
  <c r="M48" i="12"/>
  <c r="M55" i="12"/>
  <c r="Q15" i="12"/>
  <c r="Q16" i="12"/>
  <c r="Q17" i="12"/>
  <c r="Q23" i="12"/>
  <c r="Q44" i="12"/>
  <c r="Q46" i="12"/>
  <c r="Q47" i="12"/>
  <c r="Q48" i="12"/>
  <c r="Q55" i="12"/>
  <c r="N15" i="12"/>
  <c r="N16" i="12"/>
  <c r="N17" i="12"/>
  <c r="N23" i="12"/>
  <c r="N44" i="12"/>
  <c r="N46" i="12"/>
  <c r="N47" i="12"/>
  <c r="N48" i="12"/>
  <c r="N55" i="12"/>
  <c r="J15" i="12"/>
  <c r="J16" i="12"/>
  <c r="J17" i="12"/>
  <c r="J23" i="12"/>
  <c r="J44" i="12"/>
  <c r="J46" i="12"/>
  <c r="Y15" i="12"/>
  <c r="Y16" i="12"/>
  <c r="Y17" i="12"/>
  <c r="Y23" i="12"/>
  <c r="Y44" i="12"/>
  <c r="Y46" i="12"/>
  <c r="AC15" i="12"/>
  <c r="AC16" i="12"/>
  <c r="AC17" i="12"/>
  <c r="AC23" i="12"/>
  <c r="AC44" i="12"/>
  <c r="AC46" i="12"/>
  <c r="AC47" i="12"/>
  <c r="AC48" i="12"/>
  <c r="AC55" i="12"/>
  <c r="J15" i="7"/>
  <c r="J16" i="7"/>
  <c r="J17" i="7"/>
  <c r="J23" i="7"/>
  <c r="J44" i="7"/>
  <c r="N13" i="7"/>
  <c r="N40" i="7"/>
  <c r="K40" i="7"/>
  <c r="K13" i="7"/>
  <c r="L15" i="7"/>
  <c r="L44" i="7"/>
  <c r="R47" i="7"/>
  <c r="R48" i="7"/>
  <c r="R55" i="7"/>
  <c r="M15" i="7"/>
  <c r="M44" i="7"/>
  <c r="M46" i="7"/>
  <c r="P13" i="7"/>
  <c r="P40" i="7"/>
  <c r="Q15" i="7"/>
  <c r="Q44" i="7"/>
  <c r="Q46" i="7"/>
  <c r="I13" i="7"/>
  <c r="I40" i="7"/>
  <c r="O13" i="7"/>
  <c r="O40" i="7"/>
  <c r="B33" i="7"/>
  <c r="J47" i="12"/>
  <c r="J48" i="12"/>
  <c r="J55" i="12"/>
  <c r="V47" i="12"/>
  <c r="V48" i="12"/>
  <c r="V55" i="12"/>
  <c r="I25" i="12"/>
  <c r="I26" i="12"/>
  <c r="Y47" i="12"/>
  <c r="Y48" i="12"/>
  <c r="Y55" i="12"/>
  <c r="N15" i="7"/>
  <c r="N44" i="7"/>
  <c r="N46" i="7"/>
  <c r="K44" i="7"/>
  <c r="K15" i="7"/>
  <c r="K16" i="7"/>
  <c r="K17" i="7"/>
  <c r="K23" i="7"/>
  <c r="I15" i="7"/>
  <c r="I16" i="7"/>
  <c r="I17" i="7"/>
  <c r="I23" i="7"/>
  <c r="I44" i="7"/>
  <c r="O15" i="7"/>
  <c r="O16" i="7"/>
  <c r="O17" i="7"/>
  <c r="O23" i="7"/>
  <c r="O44" i="7"/>
  <c r="O46" i="7"/>
  <c r="P15" i="7"/>
  <c r="P16" i="7"/>
  <c r="P17" i="7"/>
  <c r="P23" i="7"/>
  <c r="P44" i="7"/>
  <c r="P46" i="7"/>
  <c r="Q47" i="7"/>
  <c r="Q48" i="7"/>
  <c r="Q55" i="7"/>
  <c r="M47" i="7"/>
  <c r="M48" i="7"/>
  <c r="M55" i="7"/>
  <c r="E40" i="7"/>
  <c r="C40" i="7"/>
  <c r="E39" i="7"/>
  <c r="C39" i="7"/>
  <c r="E38" i="7"/>
  <c r="E41" i="7"/>
  <c r="C41" i="7"/>
  <c r="Q16" i="7"/>
  <c r="Q17" i="7"/>
  <c r="Q23" i="7"/>
  <c r="M16" i="7"/>
  <c r="M17" i="7"/>
  <c r="M23" i="7"/>
  <c r="L16" i="7"/>
  <c r="L17" i="7"/>
  <c r="L23" i="7"/>
  <c r="I57" i="12"/>
  <c r="I58" i="12"/>
  <c r="N47" i="7"/>
  <c r="N48" i="7"/>
  <c r="N55" i="7"/>
  <c r="N16" i="7"/>
  <c r="N17" i="7"/>
  <c r="N23" i="7"/>
  <c r="O47" i="7"/>
  <c r="O48" i="7"/>
  <c r="O55" i="7"/>
  <c r="P47" i="7"/>
  <c r="P48" i="7"/>
  <c r="P55" i="7"/>
  <c r="C38" i="7"/>
  <c r="C42" i="7"/>
  <c r="I45" i="7" a="1"/>
  <c r="H26" i="7"/>
  <c r="H25" i="7"/>
  <c r="I45" i="7"/>
  <c r="I46" i="7"/>
  <c r="L45" i="7"/>
  <c r="L46" i="7"/>
  <c r="J45" i="7"/>
  <c r="J46" i="7"/>
  <c r="K45" i="7"/>
  <c r="K46" i="7"/>
  <c r="K47" i="7"/>
  <c r="K48" i="7"/>
  <c r="K55" i="7"/>
  <c r="J47" i="7"/>
  <c r="J48" i="7"/>
  <c r="J55" i="7"/>
  <c r="L47" i="7"/>
  <c r="L48" i="7"/>
  <c r="L55" i="7"/>
  <c r="I47" i="7"/>
  <c r="I48" i="7"/>
  <c r="I55" i="7"/>
  <c r="H57" i="7"/>
</calcChain>
</file>

<file path=xl/comments1.xml><?xml version="1.0" encoding="utf-8"?>
<comments xmlns="http://schemas.openxmlformats.org/spreadsheetml/2006/main">
  <authors>
    <author>unifei</author>
  </authors>
  <commentList>
    <comment ref="R22" authorId="0" shapeId="0">
      <text>
        <r>
          <rPr>
            <b/>
            <sz val="9"/>
            <color indexed="81"/>
            <rFont val="Segoe UI"/>
            <family val="2"/>
          </rPr>
          <t>unifei: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Valor Residual= Valor residual de venda do ativo - IR sobre a venda + CG</t>
        </r>
      </text>
    </comment>
  </commentList>
</comments>
</file>

<file path=xl/comments2.xml><?xml version="1.0" encoding="utf-8"?>
<comments xmlns="http://schemas.openxmlformats.org/spreadsheetml/2006/main">
  <authors>
    <author>unifei</author>
  </authors>
  <commentList>
    <comment ref="AC22" authorId="0" shapeId="0">
      <text>
        <r>
          <rPr>
            <b/>
            <sz val="9"/>
            <color indexed="81"/>
            <rFont val="Segoe UI"/>
            <family val="2"/>
          </rPr>
          <t>unifei: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Valor Residual = Valor residual de venda - IR sobre a venda +CG</t>
        </r>
      </text>
    </comment>
  </commentList>
</comments>
</file>

<file path=xl/sharedStrings.xml><?xml version="1.0" encoding="utf-8"?>
<sst xmlns="http://schemas.openxmlformats.org/spreadsheetml/2006/main" count="197" uniqueCount="102">
  <si>
    <t>Investimento</t>
  </si>
  <si>
    <t>Depreciação acumulada</t>
  </si>
  <si>
    <t>anos</t>
  </si>
  <si>
    <t>TMA</t>
  </si>
  <si>
    <t>TIR</t>
  </si>
  <si>
    <t>Ano</t>
  </si>
  <si>
    <t>Depreciação</t>
  </si>
  <si>
    <t>Receita Bruta</t>
  </si>
  <si>
    <t>(-) Impostos proporcionais</t>
  </si>
  <si>
    <t>Receita Líquida</t>
  </si>
  <si>
    <t>Lucro Bruto</t>
  </si>
  <si>
    <t>Despesas Fixas</t>
  </si>
  <si>
    <t>Lucro antes do IR</t>
  </si>
  <si>
    <t>Lucro Líquido Após IR</t>
  </si>
  <si>
    <t>(+) Depreciação</t>
  </si>
  <si>
    <t>(-) Amortização</t>
  </si>
  <si>
    <t>(-) Investimento</t>
  </si>
  <si>
    <t>(+) Valor residual</t>
  </si>
  <si>
    <t>Fluxo de caixa</t>
  </si>
  <si>
    <t>VPL</t>
  </si>
  <si>
    <t>Dados:</t>
  </si>
  <si>
    <t>reais</t>
  </si>
  <si>
    <t>Capital de Giro Inicial</t>
  </si>
  <si>
    <t>Receita</t>
  </si>
  <si>
    <t>Produção:</t>
  </si>
  <si>
    <t>placas/dia</t>
  </si>
  <si>
    <t>Dias:</t>
  </si>
  <si>
    <t>dias</t>
  </si>
  <si>
    <t>Preço placa:</t>
  </si>
  <si>
    <t>reais/placa</t>
  </si>
  <si>
    <t>Custos Fixos</t>
  </si>
  <si>
    <t>reais/ano</t>
  </si>
  <si>
    <t>Custos variáveis</t>
  </si>
  <si>
    <t>IRPJ/CSL</t>
  </si>
  <si>
    <t>Taxa de depreciação:</t>
  </si>
  <si>
    <t>Valor Residual Venda IF:</t>
  </si>
  <si>
    <t>TMA=</t>
  </si>
  <si>
    <t>ao ano</t>
  </si>
  <si>
    <t>(-) Custo Variável</t>
  </si>
  <si>
    <t>(-) Custo Fixo</t>
  </si>
  <si>
    <t>(-) Despesas Variaveis</t>
  </si>
  <si>
    <t>(-) Despesas Fixas</t>
  </si>
  <si>
    <t>(-) Depreciação</t>
  </si>
  <si>
    <t>(-) Despesas financeiras</t>
  </si>
  <si>
    <t>(-) IR/CSLL</t>
  </si>
  <si>
    <t>Lucro Antes de Juros e Imp.</t>
  </si>
  <si>
    <t>Ganho de Capital</t>
  </si>
  <si>
    <t>Valor contábil no último ano</t>
  </si>
  <si>
    <t xml:space="preserve">Resultado da venda do ativo </t>
  </si>
  <si>
    <t>Tributos sobre venda ativo</t>
  </si>
  <si>
    <t>Financiamento</t>
  </si>
  <si>
    <t>SAC</t>
  </si>
  <si>
    <t>Prestação</t>
  </si>
  <si>
    <t>Saldo devedor</t>
  </si>
  <si>
    <t>Amortização</t>
  </si>
  <si>
    <t>Juros</t>
  </si>
  <si>
    <t>$/ano</t>
  </si>
  <si>
    <t>$</t>
  </si>
  <si>
    <t>Capital de giro</t>
  </si>
  <si>
    <t>aa</t>
  </si>
  <si>
    <t>Taxa de juros financiamento</t>
  </si>
  <si>
    <t>Vida util do projeto</t>
  </si>
  <si>
    <t>ICMS,IPI,PIS,Cofins</t>
  </si>
  <si>
    <t>4 anos SAC (1 ano de carência)</t>
  </si>
  <si>
    <t>(-) Capital de giro</t>
  </si>
  <si>
    <t>Parcela Inv Fixo Financiada</t>
  </si>
  <si>
    <t>(+) Liberação financiamento</t>
  </si>
  <si>
    <t>Valor residual</t>
  </si>
  <si>
    <t>IR</t>
  </si>
  <si>
    <t>Data</t>
  </si>
  <si>
    <t xml:space="preserve">Potência </t>
  </si>
  <si>
    <t>MW</t>
  </si>
  <si>
    <t>$/MW</t>
  </si>
  <si>
    <t>Produção de energia</t>
  </si>
  <si>
    <t>MWh/ano</t>
  </si>
  <si>
    <t>Preço energia</t>
  </si>
  <si>
    <t>Custos</t>
  </si>
  <si>
    <t>Outros custos</t>
  </si>
  <si>
    <t>Consumo de gás</t>
  </si>
  <si>
    <t>m3/ano</t>
  </si>
  <si>
    <t>Custo de gás</t>
  </si>
  <si>
    <t>$/m3</t>
  </si>
  <si>
    <t>Vida</t>
  </si>
  <si>
    <t>20 anos</t>
  </si>
  <si>
    <t>(-) Despesas financeiras (JUROS)</t>
  </si>
  <si>
    <t xml:space="preserve">Financiamento </t>
  </si>
  <si>
    <t>Período do financiamento</t>
  </si>
  <si>
    <t>Financiamento:</t>
  </si>
  <si>
    <t>$/MWh</t>
  </si>
  <si>
    <t>SAC (INV Fixo)</t>
  </si>
  <si>
    <t>10 anos sem carência</t>
  </si>
  <si>
    <t>(-) Investimento Fixo</t>
  </si>
  <si>
    <t>(-) Capital de Giro</t>
  </si>
  <si>
    <t>ICMS, IPI, PIS, Cofins (Imp prop.)</t>
  </si>
  <si>
    <t>Vida Contábil (N)</t>
  </si>
  <si>
    <t>Investimento Fixo</t>
  </si>
  <si>
    <t>Fluxo de caixa do Empreendimento</t>
  </si>
  <si>
    <t>Fluxo de Caixa do Acionista</t>
  </si>
  <si>
    <t>Fluxo de caixa do Acionista</t>
  </si>
  <si>
    <t>Vida Contábil</t>
  </si>
  <si>
    <t>Preço de venda</t>
  </si>
  <si>
    <t>Ponto de Equilibrio para o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</si>
</sst>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2" borderId="0" xfId="0" applyFont="1" applyFill="1"/>
    <xf numFmtId="49" fontId="3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indent="1"/>
    </xf>
    <xf numFmtId="9" fontId="4" fillId="2" borderId="1" xfId="0" applyNumberFormat="1" applyFont="1" applyFill="1" applyBorder="1"/>
    <xf numFmtId="49" fontId="2" fillId="2" borderId="1" xfId="0" applyNumberFormat="1" applyFont="1" applyFill="1" applyBorder="1"/>
    <xf numFmtId="49" fontId="3" fillId="2" borderId="0" xfId="0" applyNumberFormat="1" applyFont="1" applyFill="1"/>
    <xf numFmtId="44" fontId="3" fillId="2" borderId="1" xfId="2" applyFont="1" applyFill="1" applyBorder="1"/>
    <xf numFmtId="0" fontId="5" fillId="0" borderId="1" xfId="0" applyFont="1" applyBorder="1" applyAlignment="1">
      <alignment horizontal="center"/>
    </xf>
    <xf numFmtId="44" fontId="3" fillId="0" borderId="1" xfId="2" applyFont="1" applyBorder="1"/>
    <xf numFmtId="44" fontId="3" fillId="0" borderId="1" xfId="2" applyFont="1" applyFill="1" applyBorder="1"/>
    <xf numFmtId="0" fontId="4" fillId="2" borderId="0" xfId="0" applyFont="1" applyFill="1" applyBorder="1"/>
    <xf numFmtId="0" fontId="2" fillId="2" borderId="0" xfId="0" applyFont="1" applyFill="1"/>
    <xf numFmtId="44" fontId="4" fillId="2" borderId="1" xfId="2" applyFont="1" applyFill="1" applyBorder="1"/>
    <xf numFmtId="0" fontId="2" fillId="2" borderId="0" xfId="0" applyFont="1" applyFill="1" applyBorder="1" applyAlignment="1">
      <alignment horizontal="center"/>
    </xf>
    <xf numFmtId="0" fontId="3" fillId="2" borderId="1" xfId="0" applyFont="1" applyFill="1" applyBorder="1"/>
    <xf numFmtId="44" fontId="2" fillId="2" borderId="0" xfId="2" applyFont="1" applyFill="1" applyBorder="1" applyAlignment="1">
      <alignment horizontal="center"/>
    </xf>
    <xf numFmtId="9" fontId="2" fillId="2" borderId="0" xfId="0" applyNumberFormat="1" applyFont="1" applyFill="1"/>
    <xf numFmtId="0" fontId="2" fillId="0" borderId="1" xfId="0" applyFont="1" applyFill="1" applyBorder="1" applyAlignment="1">
      <alignment horizontal="center"/>
    </xf>
    <xf numFmtId="44" fontId="3" fillId="3" borderId="1" xfId="2" applyFont="1" applyFill="1" applyBorder="1"/>
    <xf numFmtId="10" fontId="3" fillId="2" borderId="0" xfId="3" applyNumberFormat="1" applyFont="1" applyFill="1"/>
    <xf numFmtId="8" fontId="3" fillId="2" borderId="0" xfId="0" applyNumberFormat="1" applyFont="1" applyFill="1"/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/>
    <xf numFmtId="0" fontId="7" fillId="2" borderId="0" xfId="0" applyFont="1" applyFill="1"/>
    <xf numFmtId="49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44" fontId="6" fillId="2" borderId="2" xfId="2" applyFont="1" applyFill="1" applyBorder="1" applyAlignment="1">
      <alignment horizontal="center"/>
    </xf>
    <xf numFmtId="49" fontId="6" fillId="4" borderId="1" xfId="0" applyNumberFormat="1" applyFont="1" applyFill="1" applyBorder="1"/>
    <xf numFmtId="44" fontId="6" fillId="5" borderId="1" xfId="2" applyFont="1" applyFill="1" applyBorder="1"/>
    <xf numFmtId="165" fontId="6" fillId="2" borderId="2" xfId="1" applyNumberFormat="1" applyFont="1" applyFill="1" applyBorder="1" applyAlignment="1">
      <alignment horizontal="center"/>
    </xf>
    <xf numFmtId="49" fontId="7" fillId="2" borderId="1" xfId="0" applyNumberFormat="1" applyFont="1" applyFill="1" applyBorder="1"/>
    <xf numFmtId="44" fontId="6" fillId="2" borderId="1" xfId="2" applyFont="1" applyFill="1" applyBorder="1"/>
    <xf numFmtId="9" fontId="6" fillId="2" borderId="2" xfId="0" applyNumberFormat="1" applyFont="1" applyFill="1" applyBorder="1" applyAlignment="1">
      <alignment horizontal="center"/>
    </xf>
    <xf numFmtId="9" fontId="6" fillId="2" borderId="5" xfId="0" applyNumberFormat="1" applyFont="1" applyFill="1" applyBorder="1"/>
    <xf numFmtId="0" fontId="6" fillId="2" borderId="6" xfId="0" applyFont="1" applyFill="1" applyBorder="1"/>
    <xf numFmtId="9" fontId="6" fillId="2" borderId="2" xfId="0" applyNumberFormat="1" applyFont="1" applyFill="1" applyBorder="1"/>
    <xf numFmtId="9" fontId="6" fillId="2" borderId="7" xfId="0" applyNumberFormat="1" applyFont="1" applyFill="1" applyBorder="1"/>
    <xf numFmtId="0" fontId="6" fillId="2" borderId="8" xfId="0" applyFont="1" applyFill="1" applyBorder="1"/>
    <xf numFmtId="0" fontId="6" fillId="2" borderId="2" xfId="0" applyFont="1" applyFill="1" applyBorder="1"/>
    <xf numFmtId="10" fontId="6" fillId="2" borderId="9" xfId="0" applyNumberFormat="1" applyFont="1" applyFill="1" applyBorder="1"/>
    <xf numFmtId="0" fontId="6" fillId="2" borderId="10" xfId="0" applyFont="1" applyFill="1" applyBorder="1"/>
    <xf numFmtId="0" fontId="7" fillId="2" borderId="1" xfId="0" applyFont="1" applyFill="1" applyBorder="1"/>
    <xf numFmtId="49" fontId="7" fillId="2" borderId="0" xfId="0" applyNumberFormat="1" applyFont="1" applyFill="1"/>
    <xf numFmtId="0" fontId="8" fillId="2" borderId="1" xfId="0" applyFont="1" applyFill="1" applyBorder="1" applyAlignment="1">
      <alignment horizontal="center"/>
    </xf>
    <xf numFmtId="44" fontId="7" fillId="2" borderId="0" xfId="0" applyNumberFormat="1" applyFont="1" applyFill="1"/>
    <xf numFmtId="9" fontId="6" fillId="2" borderId="1" xfId="0" applyNumberFormat="1" applyFont="1" applyFill="1" applyBorder="1" applyAlignment="1">
      <alignment horizontal="center"/>
    </xf>
    <xf numFmtId="0" fontId="6" fillId="2" borderId="0" xfId="0" applyFont="1" applyFill="1"/>
    <xf numFmtId="44" fontId="6" fillId="0" borderId="1" xfId="2" applyFont="1" applyFill="1" applyBorder="1" applyAlignment="1">
      <alignment horizontal="center"/>
    </xf>
    <xf numFmtId="44" fontId="6" fillId="2" borderId="1" xfId="2" applyFont="1" applyFill="1" applyBorder="1" applyAlignment="1">
      <alignment horizontal="center"/>
    </xf>
    <xf numFmtId="49" fontId="6" fillId="5" borderId="1" xfId="0" applyNumberFormat="1" applyFont="1" applyFill="1" applyBorder="1"/>
    <xf numFmtId="49" fontId="6" fillId="2" borderId="0" xfId="0" applyNumberFormat="1" applyFont="1" applyFill="1"/>
    <xf numFmtId="49" fontId="2" fillId="5" borderId="1" xfId="0" applyNumberFormat="1" applyFont="1" applyFill="1" applyBorder="1"/>
    <xf numFmtId="44" fontId="3" fillId="5" borderId="1" xfId="2" applyFont="1" applyFill="1" applyBorder="1"/>
    <xf numFmtId="164" fontId="7" fillId="2" borderId="0" xfId="0" applyNumberFormat="1" applyFont="1" applyFill="1"/>
    <xf numFmtId="44" fontId="6" fillId="2" borderId="2" xfId="2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44" fontId="2" fillId="0" borderId="1" xfId="2" applyFont="1" applyFill="1" applyBorder="1" applyAlignment="1">
      <alignment horizontal="center"/>
    </xf>
    <xf numFmtId="10" fontId="6" fillId="0" borderId="1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8" fontId="6" fillId="0" borderId="1" xfId="2" applyNumberFormat="1" applyFont="1" applyFill="1" applyBorder="1"/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43" fontId="2" fillId="2" borderId="0" xfId="1" applyFont="1" applyFill="1" applyBorder="1"/>
    <xf numFmtId="10" fontId="2" fillId="2" borderId="0" xfId="3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/>
    <xf numFmtId="44" fontId="2" fillId="2" borderId="0" xfId="2" applyFont="1" applyFill="1"/>
    <xf numFmtId="44" fontId="2" fillId="0" borderId="0" xfId="2" applyFont="1" applyFill="1" applyBorder="1"/>
    <xf numFmtId="44" fontId="6" fillId="2" borderId="0" xfId="2" applyFont="1" applyFill="1" applyBorder="1"/>
    <xf numFmtId="10" fontId="6" fillId="2" borderId="0" xfId="3" applyNumberFormat="1" applyFont="1" applyFill="1" applyBorder="1" applyAlignment="1">
      <alignment horizontal="center" vertical="center"/>
    </xf>
    <xf numFmtId="43" fontId="6" fillId="2" borderId="0" xfId="1" applyFont="1" applyFill="1" applyBorder="1"/>
    <xf numFmtId="44" fontId="6" fillId="3" borderId="1" xfId="2" applyFont="1" applyFill="1" applyBorder="1"/>
    <xf numFmtId="44" fontId="2" fillId="0" borderId="1" xfId="2" applyFont="1" applyFill="1" applyBorder="1" applyAlignment="1">
      <alignment horizontal="center"/>
    </xf>
    <xf numFmtId="49" fontId="3" fillId="3" borderId="1" xfId="0" applyNumberFormat="1" applyFont="1" applyFill="1" applyBorder="1"/>
    <xf numFmtId="0" fontId="3" fillId="3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10" fontId="3" fillId="6" borderId="1" xfId="0" applyNumberFormat="1" applyFont="1" applyFill="1" applyBorder="1" applyAlignment="1">
      <alignment horizontal="center" vertical="center"/>
    </xf>
    <xf numFmtId="8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/>
    <xf numFmtId="0" fontId="3" fillId="8" borderId="1" xfId="0" applyFont="1" applyFill="1" applyBorder="1"/>
    <xf numFmtId="44" fontId="2" fillId="8" borderId="0" xfId="2" applyFont="1" applyFill="1"/>
    <xf numFmtId="44" fontId="2" fillId="7" borderId="1" xfId="2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10" fontId="3" fillId="6" borderId="1" xfId="0" applyNumberFormat="1" applyFont="1" applyFill="1" applyBorder="1" applyAlignment="1">
      <alignment horizontal="center"/>
    </xf>
    <xf numFmtId="8" fontId="3" fillId="6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49" fontId="6" fillId="7" borderId="1" xfId="0" applyNumberFormat="1" applyFont="1" applyFill="1" applyBorder="1"/>
    <xf numFmtId="49" fontId="6" fillId="3" borderId="1" xfId="0" applyNumberFormat="1" applyFont="1" applyFill="1" applyBorder="1"/>
    <xf numFmtId="0" fontId="6" fillId="9" borderId="1" xfId="0" applyFont="1" applyFill="1" applyBorder="1"/>
    <xf numFmtId="44" fontId="6" fillId="9" borderId="1" xfId="2" applyFont="1" applyFill="1" applyBorder="1" applyAlignment="1">
      <alignment horizontal="center"/>
    </xf>
    <xf numFmtId="44" fontId="6" fillId="9" borderId="1" xfId="0" applyNumberFormat="1" applyFont="1" applyFill="1" applyBorder="1" applyAlignment="1"/>
    <xf numFmtId="44" fontId="6" fillId="7" borderId="1" xfId="2" applyFont="1" applyFill="1" applyBorder="1" applyAlignment="1">
      <alignment horizontal="center"/>
    </xf>
    <xf numFmtId="44" fontId="6" fillId="3" borderId="1" xfId="2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9" fontId="4" fillId="2" borderId="2" xfId="0" applyNumberFormat="1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4" fontId="3" fillId="0" borderId="1" xfId="2" applyFont="1" applyBorder="1" applyAlignment="1">
      <alignment horizontal="center"/>
    </xf>
    <xf numFmtId="44" fontId="3" fillId="2" borderId="1" xfId="2" applyFont="1" applyFill="1" applyBorder="1" applyAlignment="1">
      <alignment horizontal="center"/>
    </xf>
    <xf numFmtId="44" fontId="3" fillId="0" borderId="1" xfId="2" applyFont="1" applyFill="1" applyBorder="1" applyAlignment="1">
      <alignment horizontal="center"/>
    </xf>
    <xf numFmtId="0" fontId="6" fillId="3" borderId="11" xfId="0" applyFont="1" applyFill="1" applyBorder="1" applyAlignment="1"/>
    <xf numFmtId="0" fontId="6" fillId="3" borderId="1" xfId="0" applyFont="1" applyFill="1" applyBorder="1" applyAlignment="1"/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4" fontId="6" fillId="2" borderId="2" xfId="2" applyFont="1" applyFill="1" applyBorder="1" applyAlignment="1">
      <alignment horizontal="center"/>
    </xf>
    <xf numFmtId="44" fontId="6" fillId="2" borderId="3" xfId="2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8"/>
  <sheetViews>
    <sheetView tabSelected="1" zoomScale="90" zoomScaleNormal="90" workbookViewId="0">
      <selection activeCell="C54" sqref="C54"/>
    </sheetView>
  </sheetViews>
  <sheetFormatPr defaultColWidth="9.140625" defaultRowHeight="18.75" x14ac:dyDescent="0.3"/>
  <cols>
    <col min="1" max="1" width="17.7109375" style="2" bestFit="1" customWidth="1"/>
    <col min="2" max="2" width="39.85546875" style="2" bestFit="1" customWidth="1"/>
    <col min="3" max="3" width="21.42578125" style="2" bestFit="1" customWidth="1"/>
    <col min="4" max="4" width="20.5703125" style="2" customWidth="1"/>
    <col min="5" max="5" width="18.28515625" style="2" bestFit="1" customWidth="1"/>
    <col min="6" max="6" width="5.42578125" style="2" customWidth="1"/>
    <col min="7" max="7" width="37.7109375" style="11" bestFit="1" customWidth="1"/>
    <col min="8" max="9" width="19.5703125" style="2" bestFit="1" customWidth="1"/>
    <col min="10" max="17" width="19" style="2" bestFit="1" customWidth="1"/>
    <col min="18" max="18" width="19.5703125" style="2" bestFit="1" customWidth="1"/>
    <col min="19" max="16384" width="9.140625" style="2"/>
  </cols>
  <sheetData>
    <row r="1" spans="2:18" x14ac:dyDescent="0.3">
      <c r="G1" s="103" t="s">
        <v>96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3" spans="2:18" x14ac:dyDescent="0.3">
      <c r="B3" s="4" t="s">
        <v>20</v>
      </c>
      <c r="C3" s="4"/>
      <c r="D3" s="4"/>
      <c r="E3" s="4"/>
      <c r="G3" s="10" t="s">
        <v>5</v>
      </c>
      <c r="H3" s="3">
        <v>0</v>
      </c>
      <c r="I3" s="3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3">
        <v>9</v>
      </c>
      <c r="R3" s="3">
        <v>10</v>
      </c>
    </row>
    <row r="4" spans="2:18" x14ac:dyDescent="0.3">
      <c r="B4" s="6" t="s">
        <v>95</v>
      </c>
      <c r="C4" s="18">
        <v>270000</v>
      </c>
      <c r="D4" s="6" t="s">
        <v>21</v>
      </c>
      <c r="E4" s="16"/>
      <c r="G4" s="58" t="s">
        <v>7</v>
      </c>
      <c r="H4" s="59"/>
      <c r="I4" s="59">
        <f>$C$9*$C$8*$C$7</f>
        <v>737999.99999999988</v>
      </c>
      <c r="J4" s="59">
        <f t="shared" ref="J4:R4" si="0">$C$9*$C$8*$C$7</f>
        <v>737999.99999999988</v>
      </c>
      <c r="K4" s="59">
        <f t="shared" si="0"/>
        <v>737999.99999999988</v>
      </c>
      <c r="L4" s="59">
        <f t="shared" si="0"/>
        <v>737999.99999999988</v>
      </c>
      <c r="M4" s="59">
        <f t="shared" si="0"/>
        <v>737999.99999999988</v>
      </c>
      <c r="N4" s="59">
        <f t="shared" si="0"/>
        <v>737999.99999999988</v>
      </c>
      <c r="O4" s="59">
        <f t="shared" si="0"/>
        <v>737999.99999999988</v>
      </c>
      <c r="P4" s="59">
        <f t="shared" si="0"/>
        <v>737999.99999999988</v>
      </c>
      <c r="Q4" s="59">
        <f t="shared" si="0"/>
        <v>737999.99999999988</v>
      </c>
      <c r="R4" s="59">
        <f t="shared" si="0"/>
        <v>737999.99999999988</v>
      </c>
    </row>
    <row r="5" spans="2:18" x14ac:dyDescent="0.3">
      <c r="B5" s="6" t="s">
        <v>22</v>
      </c>
      <c r="C5" s="18">
        <v>65000</v>
      </c>
      <c r="D5" s="6" t="s">
        <v>21</v>
      </c>
      <c r="E5" s="16"/>
      <c r="G5" s="5" t="s">
        <v>8</v>
      </c>
      <c r="H5" s="12"/>
      <c r="I5" s="12">
        <f>$C$13*I4</f>
        <v>132839.99999999997</v>
      </c>
      <c r="J5" s="12">
        <f t="shared" ref="J5:R5" si="1">$C$13*J4</f>
        <v>132839.99999999997</v>
      </c>
      <c r="K5" s="12">
        <f t="shared" si="1"/>
        <v>132839.99999999997</v>
      </c>
      <c r="L5" s="12">
        <f t="shared" si="1"/>
        <v>132839.99999999997</v>
      </c>
      <c r="M5" s="12">
        <f t="shared" si="1"/>
        <v>132839.99999999997</v>
      </c>
      <c r="N5" s="12">
        <f t="shared" si="1"/>
        <v>132839.99999999997</v>
      </c>
      <c r="O5" s="12">
        <f t="shared" si="1"/>
        <v>132839.99999999997</v>
      </c>
      <c r="P5" s="12">
        <f t="shared" si="1"/>
        <v>132839.99999999997</v>
      </c>
      <c r="Q5" s="12">
        <f t="shared" si="1"/>
        <v>132839.99999999997</v>
      </c>
      <c r="R5" s="12">
        <f t="shared" si="1"/>
        <v>132839.99999999997</v>
      </c>
    </row>
    <row r="6" spans="2:18" x14ac:dyDescent="0.3">
      <c r="B6" s="7" t="s">
        <v>23</v>
      </c>
      <c r="C6" s="18"/>
      <c r="D6" s="6"/>
      <c r="E6" s="16"/>
      <c r="G6" s="58" t="s">
        <v>9</v>
      </c>
      <c r="H6" s="59"/>
      <c r="I6" s="59">
        <f>I4-I5</f>
        <v>605159.99999999988</v>
      </c>
      <c r="J6" s="59">
        <f t="shared" ref="J6:R6" si="2">J4-J5</f>
        <v>605159.99999999988</v>
      </c>
      <c r="K6" s="59">
        <f t="shared" si="2"/>
        <v>605159.99999999988</v>
      </c>
      <c r="L6" s="59">
        <f t="shared" si="2"/>
        <v>605159.99999999988</v>
      </c>
      <c r="M6" s="59">
        <f t="shared" si="2"/>
        <v>605159.99999999988</v>
      </c>
      <c r="N6" s="59">
        <f t="shared" si="2"/>
        <v>605159.99999999988</v>
      </c>
      <c r="O6" s="59">
        <f t="shared" si="2"/>
        <v>605159.99999999988</v>
      </c>
      <c r="P6" s="59">
        <f t="shared" si="2"/>
        <v>605159.99999999988</v>
      </c>
      <c r="Q6" s="59">
        <f t="shared" si="2"/>
        <v>605159.99999999988</v>
      </c>
      <c r="R6" s="59">
        <f t="shared" si="2"/>
        <v>605159.99999999988</v>
      </c>
    </row>
    <row r="7" spans="2:18" x14ac:dyDescent="0.3">
      <c r="B7" s="8" t="s">
        <v>24</v>
      </c>
      <c r="C7" s="18">
        <v>500</v>
      </c>
      <c r="D7" s="6" t="s">
        <v>25</v>
      </c>
      <c r="E7" s="16"/>
      <c r="G7" s="5" t="s">
        <v>38</v>
      </c>
      <c r="H7" s="12"/>
      <c r="I7" s="12">
        <f>$C$11*$C$7*$C$8</f>
        <v>162000</v>
      </c>
      <c r="J7" s="12">
        <f t="shared" ref="J7:R7" si="3">$C$11*$C$7*$C$8</f>
        <v>162000</v>
      </c>
      <c r="K7" s="12">
        <f t="shared" si="3"/>
        <v>162000</v>
      </c>
      <c r="L7" s="12">
        <f t="shared" si="3"/>
        <v>162000</v>
      </c>
      <c r="M7" s="12">
        <f t="shared" si="3"/>
        <v>162000</v>
      </c>
      <c r="N7" s="12">
        <f t="shared" si="3"/>
        <v>162000</v>
      </c>
      <c r="O7" s="12">
        <f t="shared" si="3"/>
        <v>162000</v>
      </c>
      <c r="P7" s="12">
        <f t="shared" si="3"/>
        <v>162000</v>
      </c>
      <c r="Q7" s="12">
        <f t="shared" si="3"/>
        <v>162000</v>
      </c>
      <c r="R7" s="12">
        <f t="shared" si="3"/>
        <v>162000</v>
      </c>
    </row>
    <row r="8" spans="2:18" x14ac:dyDescent="0.3">
      <c r="B8" s="8" t="s">
        <v>26</v>
      </c>
      <c r="C8" s="18">
        <v>360</v>
      </c>
      <c r="D8" s="6" t="s">
        <v>27</v>
      </c>
      <c r="E8" s="16"/>
      <c r="G8" s="5" t="s">
        <v>39</v>
      </c>
      <c r="H8" s="12"/>
      <c r="I8" s="12">
        <f>$C$10</f>
        <v>230000</v>
      </c>
      <c r="J8" s="12">
        <f t="shared" ref="J8:R8" si="4">$C$10</f>
        <v>230000</v>
      </c>
      <c r="K8" s="12">
        <f t="shared" si="4"/>
        <v>230000</v>
      </c>
      <c r="L8" s="12">
        <f t="shared" si="4"/>
        <v>230000</v>
      </c>
      <c r="M8" s="12">
        <f t="shared" si="4"/>
        <v>230000</v>
      </c>
      <c r="N8" s="12">
        <f t="shared" si="4"/>
        <v>230000</v>
      </c>
      <c r="O8" s="12">
        <f t="shared" si="4"/>
        <v>230000</v>
      </c>
      <c r="P8" s="12">
        <f t="shared" si="4"/>
        <v>230000</v>
      </c>
      <c r="Q8" s="12">
        <f t="shared" si="4"/>
        <v>230000</v>
      </c>
      <c r="R8" s="12">
        <f t="shared" si="4"/>
        <v>230000</v>
      </c>
    </row>
    <row r="9" spans="2:18" x14ac:dyDescent="0.3">
      <c r="B9" s="8" t="s">
        <v>28</v>
      </c>
      <c r="C9" s="18">
        <v>4.0999999999999996</v>
      </c>
      <c r="D9" s="6" t="s">
        <v>29</v>
      </c>
      <c r="E9" s="16"/>
      <c r="G9" s="58" t="s">
        <v>10</v>
      </c>
      <c r="H9" s="59"/>
      <c r="I9" s="59">
        <f>I6-I7-I8</f>
        <v>213159.99999999988</v>
      </c>
      <c r="J9" s="59">
        <f t="shared" ref="J9:R9" si="5">J6-J7-J8</f>
        <v>213159.99999999988</v>
      </c>
      <c r="K9" s="59">
        <f t="shared" si="5"/>
        <v>213159.99999999988</v>
      </c>
      <c r="L9" s="59">
        <f t="shared" si="5"/>
        <v>213159.99999999988</v>
      </c>
      <c r="M9" s="59">
        <f t="shared" si="5"/>
        <v>213159.99999999988</v>
      </c>
      <c r="N9" s="59">
        <f t="shared" si="5"/>
        <v>213159.99999999988</v>
      </c>
      <c r="O9" s="59">
        <f t="shared" si="5"/>
        <v>213159.99999999988</v>
      </c>
      <c r="P9" s="59">
        <f t="shared" si="5"/>
        <v>213159.99999999988</v>
      </c>
      <c r="Q9" s="59">
        <f t="shared" si="5"/>
        <v>213159.99999999988</v>
      </c>
      <c r="R9" s="59">
        <f t="shared" si="5"/>
        <v>213159.99999999988</v>
      </c>
    </row>
    <row r="10" spans="2:18" x14ac:dyDescent="0.3">
      <c r="B10" s="6" t="s">
        <v>30</v>
      </c>
      <c r="C10" s="18">
        <v>230000</v>
      </c>
      <c r="D10" s="6" t="s">
        <v>31</v>
      </c>
      <c r="E10" s="16"/>
      <c r="G10" s="5" t="s">
        <v>40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2:18" x14ac:dyDescent="0.3">
      <c r="B11" s="6" t="s">
        <v>32</v>
      </c>
      <c r="C11" s="18">
        <v>0.9</v>
      </c>
      <c r="D11" s="6" t="s">
        <v>29</v>
      </c>
      <c r="E11" s="16"/>
      <c r="G11" s="5" t="s">
        <v>41</v>
      </c>
      <c r="H11" s="12"/>
      <c r="I11" s="12">
        <f>$C$12</f>
        <v>90000</v>
      </c>
      <c r="J11" s="12">
        <f t="shared" ref="J11:R11" si="6">$C$12</f>
        <v>90000</v>
      </c>
      <c r="K11" s="12">
        <f t="shared" si="6"/>
        <v>90000</v>
      </c>
      <c r="L11" s="12">
        <f t="shared" si="6"/>
        <v>90000</v>
      </c>
      <c r="M11" s="12">
        <f t="shared" si="6"/>
        <v>90000</v>
      </c>
      <c r="N11" s="12">
        <f t="shared" si="6"/>
        <v>90000</v>
      </c>
      <c r="O11" s="12">
        <f t="shared" si="6"/>
        <v>90000</v>
      </c>
      <c r="P11" s="12">
        <f t="shared" si="6"/>
        <v>90000</v>
      </c>
      <c r="Q11" s="12">
        <f t="shared" si="6"/>
        <v>90000</v>
      </c>
      <c r="R11" s="12">
        <f t="shared" si="6"/>
        <v>90000</v>
      </c>
    </row>
    <row r="12" spans="2:18" x14ac:dyDescent="0.3">
      <c r="B12" s="6" t="s">
        <v>11</v>
      </c>
      <c r="C12" s="18">
        <v>90000</v>
      </c>
      <c r="D12" s="6" t="s">
        <v>21</v>
      </c>
      <c r="E12" s="16"/>
      <c r="G12" s="5" t="s">
        <v>42</v>
      </c>
      <c r="H12" s="12"/>
      <c r="I12" s="12">
        <f>$C$15*$H$20</f>
        <v>27000</v>
      </c>
      <c r="J12" s="12">
        <f t="shared" ref="J12:R12" si="7">$C$15*$H$20</f>
        <v>27000</v>
      </c>
      <c r="K12" s="12">
        <f t="shared" si="7"/>
        <v>27000</v>
      </c>
      <c r="L12" s="12">
        <f t="shared" si="7"/>
        <v>27000</v>
      </c>
      <c r="M12" s="12">
        <f t="shared" si="7"/>
        <v>27000</v>
      </c>
      <c r="N12" s="12">
        <f t="shared" si="7"/>
        <v>27000</v>
      </c>
      <c r="O12" s="12">
        <f t="shared" si="7"/>
        <v>27000</v>
      </c>
      <c r="P12" s="12">
        <f t="shared" si="7"/>
        <v>27000</v>
      </c>
      <c r="Q12" s="12">
        <f t="shared" si="7"/>
        <v>27000</v>
      </c>
      <c r="R12" s="12">
        <f t="shared" si="7"/>
        <v>27000</v>
      </c>
    </row>
    <row r="13" spans="2:18" x14ac:dyDescent="0.3">
      <c r="B13" s="6" t="s">
        <v>93</v>
      </c>
      <c r="C13" s="9">
        <v>0.18</v>
      </c>
      <c r="D13" s="6"/>
      <c r="E13" s="16"/>
      <c r="G13" s="58" t="s">
        <v>45</v>
      </c>
      <c r="H13" s="59"/>
      <c r="I13" s="59">
        <f>I9-I10-I11-I12</f>
        <v>96159.999999999884</v>
      </c>
      <c r="J13" s="59">
        <f t="shared" ref="J13:R13" si="8">J9-J10-J11-J12</f>
        <v>96159.999999999884</v>
      </c>
      <c r="K13" s="59">
        <f t="shared" si="8"/>
        <v>96159.999999999884</v>
      </c>
      <c r="L13" s="59">
        <f t="shared" si="8"/>
        <v>96159.999999999884</v>
      </c>
      <c r="M13" s="59">
        <f t="shared" si="8"/>
        <v>96159.999999999884</v>
      </c>
      <c r="N13" s="59">
        <f t="shared" si="8"/>
        <v>96159.999999999884</v>
      </c>
      <c r="O13" s="59">
        <f t="shared" si="8"/>
        <v>96159.999999999884</v>
      </c>
      <c r="P13" s="59">
        <f t="shared" si="8"/>
        <v>96159.999999999884</v>
      </c>
      <c r="Q13" s="59">
        <f t="shared" si="8"/>
        <v>96159.999999999884</v>
      </c>
      <c r="R13" s="59">
        <f t="shared" si="8"/>
        <v>96159.999999999884</v>
      </c>
    </row>
    <row r="14" spans="2:18" x14ac:dyDescent="0.3">
      <c r="B14" s="6" t="s">
        <v>33</v>
      </c>
      <c r="C14" s="9">
        <v>0.35</v>
      </c>
      <c r="D14" s="6"/>
      <c r="E14" s="16"/>
      <c r="G14" s="5" t="s">
        <v>43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 x14ac:dyDescent="0.3">
      <c r="B15" s="6" t="s">
        <v>34</v>
      </c>
      <c r="C15" s="9">
        <v>0.1</v>
      </c>
      <c r="D15" s="6"/>
      <c r="E15" s="16"/>
      <c r="G15" s="58" t="s">
        <v>12</v>
      </c>
      <c r="H15" s="59"/>
      <c r="I15" s="59">
        <f>I13-I14</f>
        <v>96159.999999999884</v>
      </c>
      <c r="J15" s="59">
        <f t="shared" ref="J15:R15" si="9">J13-J14</f>
        <v>96159.999999999884</v>
      </c>
      <c r="K15" s="59">
        <f t="shared" si="9"/>
        <v>96159.999999999884</v>
      </c>
      <c r="L15" s="59">
        <f t="shared" si="9"/>
        <v>96159.999999999884</v>
      </c>
      <c r="M15" s="59">
        <f t="shared" si="9"/>
        <v>96159.999999999884</v>
      </c>
      <c r="N15" s="59">
        <f t="shared" si="9"/>
        <v>96159.999999999884</v>
      </c>
      <c r="O15" s="59">
        <f t="shared" si="9"/>
        <v>96159.999999999884</v>
      </c>
      <c r="P15" s="59">
        <f t="shared" si="9"/>
        <v>96159.999999999884</v>
      </c>
      <c r="Q15" s="59">
        <f t="shared" si="9"/>
        <v>96159.999999999884</v>
      </c>
      <c r="R15" s="59">
        <f t="shared" si="9"/>
        <v>96159.999999999884</v>
      </c>
    </row>
    <row r="16" spans="2:18" x14ac:dyDescent="0.3">
      <c r="B16" s="6" t="s">
        <v>61</v>
      </c>
      <c r="C16" s="6">
        <v>10</v>
      </c>
      <c r="D16" s="6" t="s">
        <v>2</v>
      </c>
      <c r="E16" s="16"/>
      <c r="G16" s="5" t="s">
        <v>44</v>
      </c>
      <c r="H16" s="12"/>
      <c r="I16" s="12">
        <f>$C$14*I15</f>
        <v>33655.999999999956</v>
      </c>
      <c r="J16" s="12">
        <f t="shared" ref="J16:R16" si="10">$C$14*J15</f>
        <v>33655.999999999956</v>
      </c>
      <c r="K16" s="12">
        <f t="shared" si="10"/>
        <v>33655.999999999956</v>
      </c>
      <c r="L16" s="12">
        <f t="shared" si="10"/>
        <v>33655.999999999956</v>
      </c>
      <c r="M16" s="12">
        <f t="shared" si="10"/>
        <v>33655.999999999956</v>
      </c>
      <c r="N16" s="12">
        <f t="shared" si="10"/>
        <v>33655.999999999956</v>
      </c>
      <c r="O16" s="12">
        <f t="shared" si="10"/>
        <v>33655.999999999956</v>
      </c>
      <c r="P16" s="12">
        <f t="shared" si="10"/>
        <v>33655.999999999956</v>
      </c>
      <c r="Q16" s="12">
        <f t="shared" si="10"/>
        <v>33655.999999999956</v>
      </c>
      <c r="R16" s="12">
        <f t="shared" si="10"/>
        <v>33655.999999999956</v>
      </c>
    </row>
    <row r="17" spans="2:18" x14ac:dyDescent="0.3">
      <c r="B17" s="6" t="s">
        <v>35</v>
      </c>
      <c r="C17" s="18">
        <v>80000</v>
      </c>
      <c r="D17" s="6" t="s">
        <v>21</v>
      </c>
      <c r="E17" s="16"/>
      <c r="G17" s="58" t="s">
        <v>13</v>
      </c>
      <c r="H17" s="59"/>
      <c r="I17" s="59">
        <f>I15-I16</f>
        <v>62503.999999999927</v>
      </c>
      <c r="J17" s="59">
        <f t="shared" ref="J17:R17" si="11">J15-J16</f>
        <v>62503.999999999927</v>
      </c>
      <c r="K17" s="59">
        <f t="shared" si="11"/>
        <v>62503.999999999927</v>
      </c>
      <c r="L17" s="59">
        <f t="shared" si="11"/>
        <v>62503.999999999927</v>
      </c>
      <c r="M17" s="59">
        <f t="shared" si="11"/>
        <v>62503.999999999927</v>
      </c>
      <c r="N17" s="59">
        <f t="shared" si="11"/>
        <v>62503.999999999927</v>
      </c>
      <c r="O17" s="59">
        <f t="shared" si="11"/>
        <v>62503.999999999927</v>
      </c>
      <c r="P17" s="59">
        <f t="shared" si="11"/>
        <v>62503.999999999927</v>
      </c>
      <c r="Q17" s="59">
        <f t="shared" si="11"/>
        <v>62503.999999999927</v>
      </c>
      <c r="R17" s="59">
        <f t="shared" si="11"/>
        <v>62503.999999999927</v>
      </c>
    </row>
    <row r="18" spans="2:18" x14ac:dyDescent="0.3">
      <c r="B18" s="6" t="s">
        <v>36</v>
      </c>
      <c r="C18" s="9">
        <v>0.18</v>
      </c>
      <c r="D18" s="6" t="s">
        <v>37</v>
      </c>
      <c r="E18" s="16"/>
      <c r="G18" s="5" t="s">
        <v>14</v>
      </c>
      <c r="H18" s="12"/>
      <c r="I18" s="12">
        <f>I12</f>
        <v>27000</v>
      </c>
      <c r="J18" s="12">
        <f t="shared" ref="J18:R18" si="12">J12</f>
        <v>27000</v>
      </c>
      <c r="K18" s="12">
        <f t="shared" si="12"/>
        <v>27000</v>
      </c>
      <c r="L18" s="12">
        <f t="shared" si="12"/>
        <v>27000</v>
      </c>
      <c r="M18" s="12">
        <f t="shared" si="12"/>
        <v>27000</v>
      </c>
      <c r="N18" s="12">
        <f t="shared" si="12"/>
        <v>27000</v>
      </c>
      <c r="O18" s="12">
        <f t="shared" si="12"/>
        <v>27000</v>
      </c>
      <c r="P18" s="12">
        <f t="shared" si="12"/>
        <v>27000</v>
      </c>
      <c r="Q18" s="12">
        <f t="shared" si="12"/>
        <v>27000</v>
      </c>
      <c r="R18" s="12">
        <f t="shared" si="12"/>
        <v>27000</v>
      </c>
    </row>
    <row r="19" spans="2:18" x14ac:dyDescent="0.3">
      <c r="B19" s="6" t="s">
        <v>65</v>
      </c>
      <c r="C19" s="9">
        <v>0.6</v>
      </c>
      <c r="D19" s="9"/>
      <c r="G19" s="5" t="s">
        <v>15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2:18" x14ac:dyDescent="0.3">
      <c r="B20" s="6" t="s">
        <v>60</v>
      </c>
      <c r="C20" s="9">
        <v>0.12</v>
      </c>
      <c r="D20" s="9" t="s">
        <v>59</v>
      </c>
      <c r="G20" s="81" t="s">
        <v>91</v>
      </c>
      <c r="H20" s="12">
        <f>$C$4</f>
        <v>270000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 x14ac:dyDescent="0.3">
      <c r="B21" s="6" t="s">
        <v>54</v>
      </c>
      <c r="C21" s="105" t="s">
        <v>63</v>
      </c>
      <c r="D21" s="106"/>
      <c r="G21" s="82" t="s">
        <v>92</v>
      </c>
      <c r="H21" s="12">
        <f>$C$5</f>
        <v>65000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2:18" x14ac:dyDescent="0.3">
      <c r="B22" s="83" t="s">
        <v>94</v>
      </c>
      <c r="C22" s="84">
        <f>100/10</f>
        <v>10</v>
      </c>
      <c r="D22" s="83" t="s">
        <v>2</v>
      </c>
      <c r="G22" s="5" t="s">
        <v>17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4">
        <f>C17-O30+H21</f>
        <v>117000</v>
      </c>
    </row>
    <row r="23" spans="2:18" x14ac:dyDescent="0.3">
      <c r="G23" s="58" t="s">
        <v>18</v>
      </c>
      <c r="H23" s="59">
        <f>H17+H18-H19-H20-H21+H22</f>
        <v>-335000</v>
      </c>
      <c r="I23" s="59">
        <f t="shared" ref="I23:R23" si="13">I17+I18-I19-I20-I21+I22</f>
        <v>89503.999999999927</v>
      </c>
      <c r="J23" s="59">
        <f t="shared" si="13"/>
        <v>89503.999999999927</v>
      </c>
      <c r="K23" s="59">
        <f t="shared" si="13"/>
        <v>89503.999999999927</v>
      </c>
      <c r="L23" s="59">
        <f t="shared" si="13"/>
        <v>89503.999999999927</v>
      </c>
      <c r="M23" s="59">
        <f t="shared" si="13"/>
        <v>89503.999999999927</v>
      </c>
      <c r="N23" s="59">
        <f t="shared" si="13"/>
        <v>89503.999999999927</v>
      </c>
      <c r="O23" s="59">
        <f t="shared" si="13"/>
        <v>89503.999999999927</v>
      </c>
      <c r="P23" s="59">
        <f t="shared" si="13"/>
        <v>89503.999999999927</v>
      </c>
      <c r="Q23" s="59">
        <f t="shared" si="13"/>
        <v>89503.999999999927</v>
      </c>
      <c r="R23" s="59">
        <f t="shared" si="13"/>
        <v>206503.99999999994</v>
      </c>
    </row>
    <row r="25" spans="2:18" x14ac:dyDescent="0.3">
      <c r="G25" s="10" t="s">
        <v>4</v>
      </c>
      <c r="H25" s="85">
        <f>IRR(H23:R23)</f>
        <v>0.24734720915731701</v>
      </c>
      <c r="I25" s="25"/>
    </row>
    <row r="26" spans="2:18" x14ac:dyDescent="0.3">
      <c r="G26" s="10" t="s">
        <v>19</v>
      </c>
      <c r="H26" s="86">
        <f>NPV(C18,I23:R23)+H23</f>
        <v>89593.242369806278</v>
      </c>
    </row>
    <row r="28" spans="2:18" x14ac:dyDescent="0.3">
      <c r="G28" s="107" t="s">
        <v>46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</row>
    <row r="29" spans="2:18" x14ac:dyDescent="0.3">
      <c r="G29" s="13" t="s">
        <v>1</v>
      </c>
      <c r="H29" s="107" t="s">
        <v>47</v>
      </c>
      <c r="I29" s="107"/>
      <c r="J29" s="107"/>
      <c r="K29" s="107" t="s">
        <v>48</v>
      </c>
      <c r="L29" s="107"/>
      <c r="M29" s="107"/>
      <c r="N29" s="107"/>
      <c r="O29" s="108" t="s">
        <v>49</v>
      </c>
      <c r="P29" s="108"/>
      <c r="Q29" s="108"/>
      <c r="R29" s="108"/>
    </row>
    <row r="30" spans="2:18" x14ac:dyDescent="0.3">
      <c r="G30" s="14">
        <f>SUM(I18:R18)</f>
        <v>270000</v>
      </c>
      <c r="H30" s="109">
        <f>H20-G30</f>
        <v>0</v>
      </c>
      <c r="I30" s="109"/>
      <c r="J30" s="109"/>
      <c r="K30" s="110">
        <f>C17-H30</f>
        <v>80000</v>
      </c>
      <c r="L30" s="110"/>
      <c r="M30" s="110"/>
      <c r="N30" s="110"/>
      <c r="O30" s="111">
        <f>C14*K30</f>
        <v>28000</v>
      </c>
      <c r="P30" s="111"/>
      <c r="Q30" s="111"/>
      <c r="R30" s="111"/>
    </row>
    <row r="33" spans="1:18" x14ac:dyDescent="0.3">
      <c r="A33" s="17" t="s">
        <v>55</v>
      </c>
      <c r="B33" s="22">
        <f>C20</f>
        <v>0.12</v>
      </c>
      <c r="G33" s="104" t="s">
        <v>97</v>
      </c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spans="1:18" x14ac:dyDescent="0.3">
      <c r="A34" s="17" t="s">
        <v>50</v>
      </c>
      <c r="B34" s="89">
        <f>C19*C4</f>
        <v>162000</v>
      </c>
      <c r="C34" s="74"/>
      <c r="D34" s="1"/>
      <c r="E34" s="1"/>
      <c r="G34" s="10" t="s">
        <v>5</v>
      </c>
      <c r="H34" s="3">
        <v>0</v>
      </c>
      <c r="I34" s="3">
        <v>1</v>
      </c>
      <c r="J34" s="3">
        <v>2</v>
      </c>
      <c r="K34" s="3">
        <v>3</v>
      </c>
      <c r="L34" s="3">
        <v>4</v>
      </c>
      <c r="M34" s="3">
        <v>5</v>
      </c>
      <c r="N34" s="3">
        <v>6</v>
      </c>
      <c r="O34" s="3">
        <v>7</v>
      </c>
      <c r="P34" s="3">
        <v>8</v>
      </c>
      <c r="Q34" s="3">
        <v>9</v>
      </c>
      <c r="R34" s="3">
        <v>10</v>
      </c>
    </row>
    <row r="35" spans="1:18" x14ac:dyDescent="0.3">
      <c r="A35" s="83" t="s">
        <v>51</v>
      </c>
      <c r="C35" s="17"/>
      <c r="D35" s="17"/>
      <c r="E35" s="17"/>
      <c r="G35" s="58" t="s">
        <v>7</v>
      </c>
      <c r="H35" s="59"/>
      <c r="I35" s="59">
        <f>I4</f>
        <v>737999.99999999988</v>
      </c>
      <c r="J35" s="59">
        <f t="shared" ref="J35:R35" si="14">J4</f>
        <v>737999.99999999988</v>
      </c>
      <c r="K35" s="59">
        <f t="shared" si="14"/>
        <v>737999.99999999988</v>
      </c>
      <c r="L35" s="59">
        <f t="shared" si="14"/>
        <v>737999.99999999988</v>
      </c>
      <c r="M35" s="59">
        <f t="shared" si="14"/>
        <v>737999.99999999988</v>
      </c>
      <c r="N35" s="59">
        <f t="shared" si="14"/>
        <v>737999.99999999988</v>
      </c>
      <c r="O35" s="59">
        <f t="shared" si="14"/>
        <v>737999.99999999988</v>
      </c>
      <c r="P35" s="59">
        <f t="shared" si="14"/>
        <v>737999.99999999988</v>
      </c>
      <c r="Q35" s="59">
        <f t="shared" si="14"/>
        <v>737999.99999999988</v>
      </c>
      <c r="R35" s="59">
        <f t="shared" si="14"/>
        <v>737999.99999999988</v>
      </c>
    </row>
    <row r="36" spans="1:18" x14ac:dyDescent="0.3">
      <c r="A36" s="3" t="s">
        <v>52</v>
      </c>
      <c r="B36" s="23" t="s">
        <v>53</v>
      </c>
      <c r="C36" s="23" t="s">
        <v>52</v>
      </c>
      <c r="D36" s="23" t="s">
        <v>54</v>
      </c>
      <c r="E36" s="23" t="s">
        <v>55</v>
      </c>
      <c r="G36" s="5" t="s">
        <v>8</v>
      </c>
      <c r="H36" s="12"/>
      <c r="I36" s="59">
        <f t="shared" ref="I36:R44" si="15">I5</f>
        <v>132839.99999999997</v>
      </c>
      <c r="J36" s="59">
        <f t="shared" si="15"/>
        <v>132839.99999999997</v>
      </c>
      <c r="K36" s="59">
        <f t="shared" si="15"/>
        <v>132839.99999999997</v>
      </c>
      <c r="L36" s="59">
        <f t="shared" si="15"/>
        <v>132839.99999999997</v>
      </c>
      <c r="M36" s="59">
        <f t="shared" si="15"/>
        <v>132839.99999999997</v>
      </c>
      <c r="N36" s="59">
        <f t="shared" si="15"/>
        <v>132839.99999999997</v>
      </c>
      <c r="O36" s="59">
        <f t="shared" si="15"/>
        <v>132839.99999999997</v>
      </c>
      <c r="P36" s="59">
        <f t="shared" si="15"/>
        <v>132839.99999999997</v>
      </c>
      <c r="Q36" s="59">
        <f t="shared" si="15"/>
        <v>132839.99999999997</v>
      </c>
      <c r="R36" s="59">
        <f t="shared" si="15"/>
        <v>132839.99999999997</v>
      </c>
    </row>
    <row r="37" spans="1:18" x14ac:dyDescent="0.3">
      <c r="A37" s="3">
        <v>0</v>
      </c>
      <c r="B37" s="64">
        <f>B34</f>
        <v>162000</v>
      </c>
      <c r="C37" s="64"/>
      <c r="D37" s="64"/>
      <c r="E37" s="64"/>
      <c r="G37" s="58" t="s">
        <v>9</v>
      </c>
      <c r="H37" s="59"/>
      <c r="I37" s="59">
        <f t="shared" si="15"/>
        <v>605159.99999999988</v>
      </c>
      <c r="J37" s="59">
        <f t="shared" si="15"/>
        <v>605159.99999999988</v>
      </c>
      <c r="K37" s="59">
        <f t="shared" si="15"/>
        <v>605159.99999999988</v>
      </c>
      <c r="L37" s="59">
        <f t="shared" si="15"/>
        <v>605159.99999999988</v>
      </c>
      <c r="M37" s="59">
        <f t="shared" si="15"/>
        <v>605159.99999999988</v>
      </c>
      <c r="N37" s="59">
        <f t="shared" si="15"/>
        <v>605159.99999999988</v>
      </c>
      <c r="O37" s="59">
        <f t="shared" si="15"/>
        <v>605159.99999999988</v>
      </c>
      <c r="P37" s="59">
        <f t="shared" si="15"/>
        <v>605159.99999999988</v>
      </c>
      <c r="Q37" s="59">
        <f t="shared" si="15"/>
        <v>605159.99999999988</v>
      </c>
      <c r="R37" s="59">
        <f t="shared" si="15"/>
        <v>605159.99999999988</v>
      </c>
    </row>
    <row r="38" spans="1:18" x14ac:dyDescent="0.3">
      <c r="A38" s="23">
        <v>1</v>
      </c>
      <c r="B38" s="64">
        <f>B37-D38</f>
        <v>162000</v>
      </c>
      <c r="C38" s="64">
        <f>D38+E38</f>
        <v>19440</v>
      </c>
      <c r="D38" s="91">
        <v>0</v>
      </c>
      <c r="E38" s="90">
        <f>$B$33*B37</f>
        <v>19440</v>
      </c>
      <c r="G38" s="5" t="s">
        <v>38</v>
      </c>
      <c r="H38" s="12"/>
      <c r="I38" s="59">
        <f t="shared" si="15"/>
        <v>162000</v>
      </c>
      <c r="J38" s="59">
        <f t="shared" si="15"/>
        <v>162000</v>
      </c>
      <c r="K38" s="59">
        <f t="shared" si="15"/>
        <v>162000</v>
      </c>
      <c r="L38" s="59">
        <f t="shared" si="15"/>
        <v>162000</v>
      </c>
      <c r="M38" s="59">
        <f t="shared" si="15"/>
        <v>162000</v>
      </c>
      <c r="N38" s="59">
        <f t="shared" si="15"/>
        <v>162000</v>
      </c>
      <c r="O38" s="59">
        <f t="shared" si="15"/>
        <v>162000</v>
      </c>
      <c r="P38" s="59">
        <f t="shared" si="15"/>
        <v>162000</v>
      </c>
      <c r="Q38" s="59">
        <f t="shared" si="15"/>
        <v>162000</v>
      </c>
      <c r="R38" s="59">
        <f t="shared" si="15"/>
        <v>162000</v>
      </c>
    </row>
    <row r="39" spans="1:18" x14ac:dyDescent="0.3">
      <c r="A39" s="3">
        <v>2</v>
      </c>
      <c r="B39" s="80">
        <f>B38-D39</f>
        <v>108000</v>
      </c>
      <c r="C39" s="80">
        <f>D39+E39</f>
        <v>73440</v>
      </c>
      <c r="D39" s="91">
        <f>$B$38/3</f>
        <v>54000</v>
      </c>
      <c r="E39" s="90">
        <f>$B$33*B38</f>
        <v>19440</v>
      </c>
      <c r="G39" s="5" t="s">
        <v>39</v>
      </c>
      <c r="H39" s="12"/>
      <c r="I39" s="59">
        <f t="shared" si="15"/>
        <v>230000</v>
      </c>
      <c r="J39" s="59">
        <f t="shared" si="15"/>
        <v>230000</v>
      </c>
      <c r="K39" s="59">
        <f t="shared" si="15"/>
        <v>230000</v>
      </c>
      <c r="L39" s="59">
        <f t="shared" si="15"/>
        <v>230000</v>
      </c>
      <c r="M39" s="59">
        <f t="shared" si="15"/>
        <v>230000</v>
      </c>
      <c r="N39" s="59">
        <f t="shared" si="15"/>
        <v>230000</v>
      </c>
      <c r="O39" s="59">
        <f t="shared" si="15"/>
        <v>230000</v>
      </c>
      <c r="P39" s="59">
        <f t="shared" si="15"/>
        <v>230000</v>
      </c>
      <c r="Q39" s="59">
        <f t="shared" si="15"/>
        <v>230000</v>
      </c>
      <c r="R39" s="59">
        <f t="shared" si="15"/>
        <v>230000</v>
      </c>
    </row>
    <row r="40" spans="1:18" x14ac:dyDescent="0.3">
      <c r="A40" s="3">
        <v>3</v>
      </c>
      <c r="B40" s="80">
        <f t="shared" ref="B40:B41" si="16">B39-D40</f>
        <v>54000</v>
      </c>
      <c r="C40" s="80">
        <f t="shared" ref="C40:C41" si="17">D40+E40</f>
        <v>66960</v>
      </c>
      <c r="D40" s="91">
        <f t="shared" ref="D40:D41" si="18">$B$38/3</f>
        <v>54000</v>
      </c>
      <c r="E40" s="90">
        <f t="shared" ref="E40:E41" si="19">$B$33*B39</f>
        <v>12960</v>
      </c>
      <c r="G40" s="58" t="s">
        <v>10</v>
      </c>
      <c r="H40" s="59"/>
      <c r="I40" s="59">
        <f t="shared" si="15"/>
        <v>213159.99999999988</v>
      </c>
      <c r="J40" s="59">
        <f t="shared" si="15"/>
        <v>213159.99999999988</v>
      </c>
      <c r="K40" s="59">
        <f t="shared" si="15"/>
        <v>213159.99999999988</v>
      </c>
      <c r="L40" s="59">
        <f t="shared" si="15"/>
        <v>213159.99999999988</v>
      </c>
      <c r="M40" s="59">
        <f t="shared" si="15"/>
        <v>213159.99999999988</v>
      </c>
      <c r="N40" s="59">
        <f t="shared" si="15"/>
        <v>213159.99999999988</v>
      </c>
      <c r="O40" s="59">
        <f t="shared" si="15"/>
        <v>213159.99999999988</v>
      </c>
      <c r="P40" s="59">
        <f t="shared" si="15"/>
        <v>213159.99999999988</v>
      </c>
      <c r="Q40" s="59">
        <f t="shared" si="15"/>
        <v>213159.99999999988</v>
      </c>
      <c r="R40" s="59">
        <f t="shared" si="15"/>
        <v>213159.99999999988</v>
      </c>
    </row>
    <row r="41" spans="1:18" x14ac:dyDescent="0.3">
      <c r="A41" s="3">
        <v>4</v>
      </c>
      <c r="B41" s="80">
        <f t="shared" si="16"/>
        <v>0</v>
      </c>
      <c r="C41" s="80">
        <f t="shared" si="17"/>
        <v>60480</v>
      </c>
      <c r="D41" s="91">
        <f t="shared" si="18"/>
        <v>54000</v>
      </c>
      <c r="E41" s="90">
        <f t="shared" si="19"/>
        <v>6480</v>
      </c>
      <c r="G41" s="5" t="s">
        <v>40</v>
      </c>
      <c r="H41" s="12"/>
      <c r="I41" s="59">
        <f t="shared" si="15"/>
        <v>0</v>
      </c>
      <c r="J41" s="59">
        <f t="shared" si="15"/>
        <v>0</v>
      </c>
      <c r="K41" s="59">
        <f t="shared" si="15"/>
        <v>0</v>
      </c>
      <c r="L41" s="59">
        <f t="shared" si="15"/>
        <v>0</v>
      </c>
      <c r="M41" s="59">
        <f t="shared" si="15"/>
        <v>0</v>
      </c>
      <c r="N41" s="59">
        <f t="shared" si="15"/>
        <v>0</v>
      </c>
      <c r="O41" s="59">
        <f t="shared" si="15"/>
        <v>0</v>
      </c>
      <c r="P41" s="59">
        <f t="shared" si="15"/>
        <v>0</v>
      </c>
      <c r="Q41" s="59">
        <f t="shared" si="15"/>
        <v>0</v>
      </c>
      <c r="R41" s="59">
        <f t="shared" si="15"/>
        <v>0</v>
      </c>
    </row>
    <row r="42" spans="1:18" x14ac:dyDescent="0.3">
      <c r="A42" s="19"/>
      <c r="B42" s="21"/>
      <c r="C42" s="21">
        <f>NPV(B33,C38:C41)</f>
        <v>161999.99999999997</v>
      </c>
      <c r="D42" s="21"/>
      <c r="E42" s="21"/>
      <c r="G42" s="5" t="s">
        <v>41</v>
      </c>
      <c r="H42" s="12"/>
      <c r="I42" s="59">
        <f t="shared" si="15"/>
        <v>90000</v>
      </c>
      <c r="J42" s="59">
        <f t="shared" si="15"/>
        <v>90000</v>
      </c>
      <c r="K42" s="59">
        <f t="shared" si="15"/>
        <v>90000</v>
      </c>
      <c r="L42" s="59">
        <f t="shared" si="15"/>
        <v>90000</v>
      </c>
      <c r="M42" s="59">
        <f t="shared" si="15"/>
        <v>90000</v>
      </c>
      <c r="N42" s="59">
        <f t="shared" si="15"/>
        <v>90000</v>
      </c>
      <c r="O42" s="59">
        <f t="shared" si="15"/>
        <v>90000</v>
      </c>
      <c r="P42" s="59">
        <f t="shared" si="15"/>
        <v>90000</v>
      </c>
      <c r="Q42" s="59">
        <f t="shared" si="15"/>
        <v>90000</v>
      </c>
      <c r="R42" s="59">
        <f t="shared" si="15"/>
        <v>90000</v>
      </c>
    </row>
    <row r="43" spans="1:18" x14ac:dyDescent="0.3">
      <c r="C43" s="26"/>
      <c r="G43" s="5" t="s">
        <v>42</v>
      </c>
      <c r="H43" s="12"/>
      <c r="I43" s="59">
        <f t="shared" si="15"/>
        <v>27000</v>
      </c>
      <c r="J43" s="59">
        <f t="shared" si="15"/>
        <v>27000</v>
      </c>
      <c r="K43" s="59">
        <f t="shared" si="15"/>
        <v>27000</v>
      </c>
      <c r="L43" s="59">
        <f t="shared" si="15"/>
        <v>27000</v>
      </c>
      <c r="M43" s="59">
        <f t="shared" si="15"/>
        <v>27000</v>
      </c>
      <c r="N43" s="59">
        <f t="shared" si="15"/>
        <v>27000</v>
      </c>
      <c r="O43" s="59">
        <f t="shared" si="15"/>
        <v>27000</v>
      </c>
      <c r="P43" s="59">
        <f t="shared" si="15"/>
        <v>27000</v>
      </c>
      <c r="Q43" s="59">
        <f t="shared" si="15"/>
        <v>27000</v>
      </c>
      <c r="R43" s="59">
        <f t="shared" si="15"/>
        <v>27000</v>
      </c>
    </row>
    <row r="44" spans="1:18" x14ac:dyDescent="0.3">
      <c r="G44" s="58" t="s">
        <v>45</v>
      </c>
      <c r="H44" s="59"/>
      <c r="I44" s="59">
        <f t="shared" si="15"/>
        <v>96159.999999999884</v>
      </c>
      <c r="J44" s="59">
        <f t="shared" si="15"/>
        <v>96159.999999999884</v>
      </c>
      <c r="K44" s="59">
        <f t="shared" si="15"/>
        <v>96159.999999999884</v>
      </c>
      <c r="L44" s="59">
        <f t="shared" si="15"/>
        <v>96159.999999999884</v>
      </c>
      <c r="M44" s="59">
        <f t="shared" si="15"/>
        <v>96159.999999999884</v>
      </c>
      <c r="N44" s="59">
        <f t="shared" si="15"/>
        <v>96159.999999999884</v>
      </c>
      <c r="O44" s="59">
        <f t="shared" si="15"/>
        <v>96159.999999999884</v>
      </c>
      <c r="P44" s="59">
        <f t="shared" si="15"/>
        <v>96159.999999999884</v>
      </c>
      <c r="Q44" s="59">
        <f t="shared" si="15"/>
        <v>96159.999999999884</v>
      </c>
      <c r="R44" s="59">
        <f t="shared" si="15"/>
        <v>96159.999999999884</v>
      </c>
    </row>
    <row r="45" spans="1:18" x14ac:dyDescent="0.3">
      <c r="G45" s="87" t="s">
        <v>84</v>
      </c>
      <c r="H45" s="12"/>
      <c r="I45" s="15">
        <f t="array" ref="I45:L45">TRANSPOSE(E38:E41)</f>
        <v>19440</v>
      </c>
      <c r="J45" s="15">
        <v>19440</v>
      </c>
      <c r="K45" s="15">
        <v>12960</v>
      </c>
      <c r="L45" s="15">
        <v>6480</v>
      </c>
      <c r="M45" s="15"/>
      <c r="N45" s="15"/>
      <c r="O45" s="12"/>
      <c r="P45" s="12"/>
      <c r="Q45" s="12"/>
      <c r="R45" s="12"/>
    </row>
    <row r="46" spans="1:18" x14ac:dyDescent="0.3">
      <c r="G46" s="58" t="s">
        <v>12</v>
      </c>
      <c r="H46" s="59"/>
      <c r="I46" s="59">
        <f>I44-I45</f>
        <v>76719.999999999884</v>
      </c>
      <c r="J46" s="59">
        <f t="shared" ref="J46:R46" si="20">J44-J45</f>
        <v>76719.999999999884</v>
      </c>
      <c r="K46" s="59">
        <f t="shared" si="20"/>
        <v>83199.999999999884</v>
      </c>
      <c r="L46" s="59">
        <f t="shared" si="20"/>
        <v>89679.999999999884</v>
      </c>
      <c r="M46" s="59">
        <f t="shared" si="20"/>
        <v>96159.999999999884</v>
      </c>
      <c r="N46" s="59">
        <f t="shared" si="20"/>
        <v>96159.999999999884</v>
      </c>
      <c r="O46" s="59">
        <f t="shared" si="20"/>
        <v>96159.999999999884</v>
      </c>
      <c r="P46" s="59">
        <f t="shared" si="20"/>
        <v>96159.999999999884</v>
      </c>
      <c r="Q46" s="59">
        <f t="shared" si="20"/>
        <v>96159.999999999884</v>
      </c>
      <c r="R46" s="59">
        <f t="shared" si="20"/>
        <v>96159.999999999884</v>
      </c>
    </row>
    <row r="47" spans="1:18" x14ac:dyDescent="0.3">
      <c r="G47" s="5" t="s">
        <v>44</v>
      </c>
      <c r="H47" s="12"/>
      <c r="I47" s="12">
        <f>$C$14*I46</f>
        <v>26851.999999999956</v>
      </c>
      <c r="J47" s="12">
        <f t="shared" ref="J47:R47" si="21">$C$14*J46</f>
        <v>26851.999999999956</v>
      </c>
      <c r="K47" s="12">
        <f t="shared" si="21"/>
        <v>29119.999999999956</v>
      </c>
      <c r="L47" s="12">
        <f t="shared" si="21"/>
        <v>31387.999999999956</v>
      </c>
      <c r="M47" s="12">
        <f t="shared" si="21"/>
        <v>33655.999999999956</v>
      </c>
      <c r="N47" s="12">
        <f t="shared" si="21"/>
        <v>33655.999999999956</v>
      </c>
      <c r="O47" s="12">
        <f t="shared" si="21"/>
        <v>33655.999999999956</v>
      </c>
      <c r="P47" s="12">
        <f t="shared" si="21"/>
        <v>33655.999999999956</v>
      </c>
      <c r="Q47" s="12">
        <f t="shared" si="21"/>
        <v>33655.999999999956</v>
      </c>
      <c r="R47" s="12">
        <f t="shared" si="21"/>
        <v>33655.999999999956</v>
      </c>
    </row>
    <row r="48" spans="1:18" x14ac:dyDescent="0.3">
      <c r="G48" s="58" t="s">
        <v>13</v>
      </c>
      <c r="H48" s="59"/>
      <c r="I48" s="59">
        <f>I46-I47</f>
        <v>49867.999999999927</v>
      </c>
      <c r="J48" s="59">
        <f t="shared" ref="J48:R48" si="22">J46-J47</f>
        <v>49867.999999999927</v>
      </c>
      <c r="K48" s="59">
        <f t="shared" si="22"/>
        <v>54079.999999999927</v>
      </c>
      <c r="L48" s="59">
        <f t="shared" si="22"/>
        <v>58291.999999999927</v>
      </c>
      <c r="M48" s="59">
        <f t="shared" si="22"/>
        <v>62503.999999999927</v>
      </c>
      <c r="N48" s="59">
        <f t="shared" si="22"/>
        <v>62503.999999999927</v>
      </c>
      <c r="O48" s="59">
        <f t="shared" si="22"/>
        <v>62503.999999999927</v>
      </c>
      <c r="P48" s="59">
        <f t="shared" si="22"/>
        <v>62503.999999999927</v>
      </c>
      <c r="Q48" s="59">
        <f t="shared" si="22"/>
        <v>62503.999999999927</v>
      </c>
      <c r="R48" s="59">
        <f t="shared" si="22"/>
        <v>62503.999999999927</v>
      </c>
    </row>
    <row r="49" spans="7:18" x14ac:dyDescent="0.3">
      <c r="G49" s="5" t="s">
        <v>14</v>
      </c>
      <c r="H49" s="12"/>
      <c r="I49" s="12">
        <f>I43</f>
        <v>27000</v>
      </c>
      <c r="J49" s="12">
        <f t="shared" ref="J49:R49" si="23">J43</f>
        <v>27000</v>
      </c>
      <c r="K49" s="12">
        <f t="shared" si="23"/>
        <v>27000</v>
      </c>
      <c r="L49" s="12">
        <f t="shared" si="23"/>
        <v>27000</v>
      </c>
      <c r="M49" s="12">
        <f t="shared" si="23"/>
        <v>27000</v>
      </c>
      <c r="N49" s="12">
        <f t="shared" si="23"/>
        <v>27000</v>
      </c>
      <c r="O49" s="12">
        <f t="shared" si="23"/>
        <v>27000</v>
      </c>
      <c r="P49" s="12">
        <f t="shared" si="23"/>
        <v>27000</v>
      </c>
      <c r="Q49" s="12">
        <f t="shared" si="23"/>
        <v>27000</v>
      </c>
      <c r="R49" s="12">
        <f t="shared" si="23"/>
        <v>27000</v>
      </c>
    </row>
    <row r="50" spans="7:18" x14ac:dyDescent="0.3">
      <c r="G50" s="81" t="s">
        <v>15</v>
      </c>
      <c r="H50" s="12"/>
      <c r="I50" s="12">
        <f t="array" ref="I50:L50">TRANSPOSE(D38:D41)</f>
        <v>0</v>
      </c>
      <c r="J50" s="12">
        <v>54000</v>
      </c>
      <c r="K50" s="12">
        <v>54000</v>
      </c>
      <c r="L50" s="12">
        <v>54000</v>
      </c>
      <c r="M50" s="12"/>
      <c r="N50" s="12"/>
      <c r="O50" s="12"/>
      <c r="P50" s="12"/>
      <c r="Q50" s="12"/>
      <c r="R50" s="12"/>
    </row>
    <row r="51" spans="7:18" x14ac:dyDescent="0.3">
      <c r="G51" s="5" t="s">
        <v>16</v>
      </c>
      <c r="H51" s="12">
        <f>H20</f>
        <v>270000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7:18" x14ac:dyDescent="0.3">
      <c r="G52" s="20" t="s">
        <v>64</v>
      </c>
      <c r="H52" s="12">
        <f>H21</f>
        <v>65000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7:18" x14ac:dyDescent="0.3">
      <c r="G53" s="88" t="s">
        <v>66</v>
      </c>
      <c r="H53" s="12">
        <f>B34</f>
        <v>162000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7:18" x14ac:dyDescent="0.3">
      <c r="G54" s="5" t="s">
        <v>17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24">
        <f>R22</f>
        <v>117000</v>
      </c>
    </row>
    <row r="55" spans="7:18" x14ac:dyDescent="0.3">
      <c r="G55" s="58" t="s">
        <v>18</v>
      </c>
      <c r="H55" s="59">
        <f>H48+H49-H50-H51-H52+H53+H54</f>
        <v>-173000</v>
      </c>
      <c r="I55" s="59">
        <f t="shared" ref="I55:R55" si="24">I48+I49-I50-I51-I52+I53+I54</f>
        <v>76867.999999999927</v>
      </c>
      <c r="J55" s="59">
        <f t="shared" si="24"/>
        <v>22867.999999999927</v>
      </c>
      <c r="K55" s="59">
        <f t="shared" si="24"/>
        <v>27079.999999999927</v>
      </c>
      <c r="L55" s="59">
        <f t="shared" si="24"/>
        <v>31291.999999999927</v>
      </c>
      <c r="M55" s="59">
        <f t="shared" si="24"/>
        <v>89503.999999999927</v>
      </c>
      <c r="N55" s="59">
        <f t="shared" si="24"/>
        <v>89503.999999999927</v>
      </c>
      <c r="O55" s="59">
        <f t="shared" si="24"/>
        <v>89503.999999999927</v>
      </c>
      <c r="P55" s="59">
        <f t="shared" si="24"/>
        <v>89503.999999999927</v>
      </c>
      <c r="Q55" s="59">
        <f t="shared" si="24"/>
        <v>89503.999999999927</v>
      </c>
      <c r="R55" s="59">
        <f t="shared" si="24"/>
        <v>206503.99999999994</v>
      </c>
    </row>
    <row r="57" spans="7:18" x14ac:dyDescent="0.3">
      <c r="G57" s="10" t="s">
        <v>4</v>
      </c>
      <c r="H57" s="92">
        <f>IRR(H55:R55)</f>
        <v>0.32442232349962152</v>
      </c>
    </row>
    <row r="58" spans="7:18" x14ac:dyDescent="0.3">
      <c r="G58" s="10" t="s">
        <v>19</v>
      </c>
      <c r="H58" s="93">
        <f>NPV(C18,I55:R55)+H55</f>
        <v>125009.55453546671</v>
      </c>
    </row>
  </sheetData>
  <mergeCells count="10">
    <mergeCell ref="G1:R1"/>
    <mergeCell ref="G33:R33"/>
    <mergeCell ref="C21:D21"/>
    <mergeCell ref="G28:R28"/>
    <mergeCell ref="H29:J29"/>
    <mergeCell ref="K29:N29"/>
    <mergeCell ref="O29:R29"/>
    <mergeCell ref="H30:J30"/>
    <mergeCell ref="K30:N30"/>
    <mergeCell ref="O30:R30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C68"/>
  <sheetViews>
    <sheetView zoomScale="80" zoomScaleNormal="80" workbookViewId="0">
      <selection activeCell="Z31" sqref="Z31"/>
    </sheetView>
  </sheetViews>
  <sheetFormatPr defaultColWidth="9.140625" defaultRowHeight="21" x14ac:dyDescent="0.35"/>
  <cols>
    <col min="1" max="1" width="9.140625" style="30"/>
    <col min="2" max="2" width="9.140625" style="30" customWidth="1"/>
    <col min="3" max="3" width="28.42578125" style="30" bestFit="1" customWidth="1"/>
    <col min="4" max="4" width="33.5703125" style="30" bestFit="1" customWidth="1"/>
    <col min="5" max="5" width="27.140625" style="30" customWidth="1"/>
    <col min="6" max="6" width="28.140625" style="30" customWidth="1"/>
    <col min="7" max="7" width="9.140625" style="30"/>
    <col min="8" max="8" width="41.85546875" style="30" bestFit="1" customWidth="1"/>
    <col min="9" max="9" width="27.7109375" style="30" bestFit="1" customWidth="1"/>
    <col min="10" max="29" width="28.42578125" style="30" bestFit="1" customWidth="1"/>
    <col min="30" max="16384" width="9.140625" style="30"/>
  </cols>
  <sheetData>
    <row r="2" spans="4:29" x14ac:dyDescent="0.35">
      <c r="H2" s="112" t="s">
        <v>96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 spans="4:29" x14ac:dyDescent="0.35">
      <c r="D3" s="27" t="s">
        <v>70</v>
      </c>
      <c r="E3" s="28">
        <v>350</v>
      </c>
      <c r="F3" s="29" t="s">
        <v>71</v>
      </c>
      <c r="H3" s="31" t="s">
        <v>5</v>
      </c>
      <c r="I3" s="32">
        <v>0</v>
      </c>
      <c r="J3" s="32">
        <v>1</v>
      </c>
      <c r="K3" s="32">
        <v>2</v>
      </c>
      <c r="L3" s="32">
        <v>3</v>
      </c>
      <c r="M3" s="32">
        <v>4</v>
      </c>
      <c r="N3" s="32">
        <v>5</v>
      </c>
      <c r="O3" s="32">
        <v>6</v>
      </c>
      <c r="P3" s="32">
        <v>7</v>
      </c>
      <c r="Q3" s="32">
        <v>8</v>
      </c>
      <c r="R3" s="32">
        <v>9</v>
      </c>
      <c r="S3" s="32">
        <v>10</v>
      </c>
      <c r="T3" s="32">
        <v>11</v>
      </c>
      <c r="U3" s="32">
        <v>12</v>
      </c>
      <c r="V3" s="32">
        <v>13</v>
      </c>
      <c r="W3" s="32">
        <v>14</v>
      </c>
      <c r="X3" s="32">
        <v>15</v>
      </c>
      <c r="Y3" s="32">
        <v>16</v>
      </c>
      <c r="Z3" s="32">
        <v>17</v>
      </c>
      <c r="AA3" s="32">
        <v>18</v>
      </c>
      <c r="AB3" s="32">
        <v>19</v>
      </c>
      <c r="AC3" s="32">
        <v>20</v>
      </c>
    </row>
    <row r="4" spans="4:29" x14ac:dyDescent="0.35">
      <c r="D4" s="27" t="s">
        <v>0</v>
      </c>
      <c r="E4" s="33">
        <v>800000</v>
      </c>
      <c r="F4" s="29" t="s">
        <v>72</v>
      </c>
      <c r="H4" s="34" t="s">
        <v>7</v>
      </c>
      <c r="I4" s="35"/>
      <c r="J4" s="35">
        <f>$E$6*$E$7</f>
        <v>114000000</v>
      </c>
      <c r="K4" s="35">
        <f t="shared" ref="K4:AC4" si="0">$E$6*$E$7</f>
        <v>114000000</v>
      </c>
      <c r="L4" s="35">
        <f t="shared" si="0"/>
        <v>114000000</v>
      </c>
      <c r="M4" s="35">
        <f t="shared" si="0"/>
        <v>114000000</v>
      </c>
      <c r="N4" s="35">
        <f t="shared" si="0"/>
        <v>114000000</v>
      </c>
      <c r="O4" s="35">
        <f t="shared" si="0"/>
        <v>114000000</v>
      </c>
      <c r="P4" s="35">
        <f t="shared" si="0"/>
        <v>114000000</v>
      </c>
      <c r="Q4" s="35">
        <f t="shared" si="0"/>
        <v>114000000</v>
      </c>
      <c r="R4" s="35">
        <f t="shared" si="0"/>
        <v>114000000</v>
      </c>
      <c r="S4" s="35">
        <f t="shared" si="0"/>
        <v>114000000</v>
      </c>
      <c r="T4" s="35">
        <f t="shared" si="0"/>
        <v>114000000</v>
      </c>
      <c r="U4" s="35">
        <f t="shared" si="0"/>
        <v>114000000</v>
      </c>
      <c r="V4" s="35">
        <f t="shared" si="0"/>
        <v>114000000</v>
      </c>
      <c r="W4" s="35">
        <f t="shared" si="0"/>
        <v>114000000</v>
      </c>
      <c r="X4" s="35">
        <f t="shared" si="0"/>
        <v>114000000</v>
      </c>
      <c r="Y4" s="35">
        <f t="shared" si="0"/>
        <v>114000000</v>
      </c>
      <c r="Z4" s="35">
        <f t="shared" si="0"/>
        <v>114000000</v>
      </c>
      <c r="AA4" s="35">
        <f t="shared" si="0"/>
        <v>114000000</v>
      </c>
      <c r="AB4" s="35">
        <f t="shared" si="0"/>
        <v>114000000</v>
      </c>
      <c r="AC4" s="35">
        <f t="shared" si="0"/>
        <v>114000000</v>
      </c>
    </row>
    <row r="5" spans="4:29" x14ac:dyDescent="0.35">
      <c r="D5" s="27" t="s">
        <v>58</v>
      </c>
      <c r="E5" s="61">
        <v>25000000</v>
      </c>
      <c r="F5" s="29" t="s">
        <v>57</v>
      </c>
      <c r="H5" s="37" t="s">
        <v>8</v>
      </c>
      <c r="I5" s="38"/>
      <c r="J5" s="38">
        <f>$E$18*J4</f>
        <v>20520000</v>
      </c>
      <c r="K5" s="38">
        <f t="shared" ref="K5:AC5" si="1">$E$18*K4</f>
        <v>20520000</v>
      </c>
      <c r="L5" s="38">
        <f t="shared" si="1"/>
        <v>20520000</v>
      </c>
      <c r="M5" s="38">
        <f t="shared" si="1"/>
        <v>20520000</v>
      </c>
      <c r="N5" s="38">
        <f t="shared" si="1"/>
        <v>20520000</v>
      </c>
      <c r="O5" s="38">
        <f t="shared" si="1"/>
        <v>20520000</v>
      </c>
      <c r="P5" s="38">
        <f t="shared" si="1"/>
        <v>20520000</v>
      </c>
      <c r="Q5" s="38">
        <f t="shared" si="1"/>
        <v>20520000</v>
      </c>
      <c r="R5" s="38">
        <f t="shared" si="1"/>
        <v>20520000</v>
      </c>
      <c r="S5" s="38">
        <f t="shared" si="1"/>
        <v>20520000</v>
      </c>
      <c r="T5" s="38">
        <f t="shared" si="1"/>
        <v>20520000</v>
      </c>
      <c r="U5" s="38">
        <f t="shared" si="1"/>
        <v>20520000</v>
      </c>
      <c r="V5" s="38">
        <f t="shared" si="1"/>
        <v>20520000</v>
      </c>
      <c r="W5" s="38">
        <f t="shared" si="1"/>
        <v>20520000</v>
      </c>
      <c r="X5" s="38">
        <f t="shared" si="1"/>
        <v>20520000</v>
      </c>
      <c r="Y5" s="38">
        <f t="shared" si="1"/>
        <v>20520000</v>
      </c>
      <c r="Z5" s="38">
        <f t="shared" si="1"/>
        <v>20520000</v>
      </c>
      <c r="AA5" s="38">
        <f t="shared" si="1"/>
        <v>20520000</v>
      </c>
      <c r="AB5" s="38">
        <f t="shared" si="1"/>
        <v>20520000</v>
      </c>
      <c r="AC5" s="38">
        <f t="shared" si="1"/>
        <v>20520000</v>
      </c>
    </row>
    <row r="6" spans="4:29" x14ac:dyDescent="0.35">
      <c r="D6" s="27" t="s">
        <v>73</v>
      </c>
      <c r="E6" s="36">
        <v>3800000</v>
      </c>
      <c r="F6" s="29" t="s">
        <v>74</v>
      </c>
      <c r="H6" s="34" t="s">
        <v>9</v>
      </c>
      <c r="I6" s="35"/>
      <c r="J6" s="35">
        <f>J4-J5</f>
        <v>93480000</v>
      </c>
      <c r="K6" s="35">
        <f t="shared" ref="K6:AC6" si="2">K4-K5</f>
        <v>93480000</v>
      </c>
      <c r="L6" s="35">
        <f t="shared" si="2"/>
        <v>93480000</v>
      </c>
      <c r="M6" s="35">
        <f t="shared" si="2"/>
        <v>93480000</v>
      </c>
      <c r="N6" s="35">
        <f t="shared" si="2"/>
        <v>93480000</v>
      </c>
      <c r="O6" s="35">
        <f t="shared" si="2"/>
        <v>93480000</v>
      </c>
      <c r="P6" s="35">
        <f t="shared" si="2"/>
        <v>93480000</v>
      </c>
      <c r="Q6" s="35">
        <f t="shared" si="2"/>
        <v>93480000</v>
      </c>
      <c r="R6" s="35">
        <f t="shared" si="2"/>
        <v>93480000</v>
      </c>
      <c r="S6" s="35">
        <f t="shared" si="2"/>
        <v>93480000</v>
      </c>
      <c r="T6" s="35">
        <f t="shared" si="2"/>
        <v>93480000</v>
      </c>
      <c r="U6" s="35">
        <f t="shared" si="2"/>
        <v>93480000</v>
      </c>
      <c r="V6" s="35">
        <f t="shared" si="2"/>
        <v>93480000</v>
      </c>
      <c r="W6" s="35">
        <f t="shared" si="2"/>
        <v>93480000</v>
      </c>
      <c r="X6" s="35">
        <f t="shared" si="2"/>
        <v>93480000</v>
      </c>
      <c r="Y6" s="35">
        <f t="shared" si="2"/>
        <v>93480000</v>
      </c>
      <c r="Z6" s="35">
        <f t="shared" si="2"/>
        <v>93480000</v>
      </c>
      <c r="AA6" s="35">
        <f t="shared" si="2"/>
        <v>93480000</v>
      </c>
      <c r="AB6" s="35">
        <f t="shared" si="2"/>
        <v>93480000</v>
      </c>
      <c r="AC6" s="35">
        <f t="shared" si="2"/>
        <v>93480000</v>
      </c>
    </row>
    <row r="7" spans="4:29" x14ac:dyDescent="0.35">
      <c r="D7" s="27" t="s">
        <v>75</v>
      </c>
      <c r="E7" s="61">
        <v>30</v>
      </c>
      <c r="F7" s="29" t="s">
        <v>88</v>
      </c>
      <c r="H7" s="37" t="s">
        <v>38</v>
      </c>
      <c r="I7" s="38"/>
      <c r="J7" s="38">
        <f>$E$8*$E$6</f>
        <v>15200000</v>
      </c>
      <c r="K7" s="38">
        <f t="shared" ref="K7:AC7" si="3">$E$8*$E$6</f>
        <v>15200000</v>
      </c>
      <c r="L7" s="38">
        <f t="shared" si="3"/>
        <v>15200000</v>
      </c>
      <c r="M7" s="38">
        <f t="shared" si="3"/>
        <v>15200000</v>
      </c>
      <c r="N7" s="38">
        <f t="shared" si="3"/>
        <v>15200000</v>
      </c>
      <c r="O7" s="38">
        <f t="shared" si="3"/>
        <v>15200000</v>
      </c>
      <c r="P7" s="38">
        <f t="shared" si="3"/>
        <v>15200000</v>
      </c>
      <c r="Q7" s="38">
        <f t="shared" si="3"/>
        <v>15200000</v>
      </c>
      <c r="R7" s="38">
        <f t="shared" si="3"/>
        <v>15200000</v>
      </c>
      <c r="S7" s="38">
        <f t="shared" si="3"/>
        <v>15200000</v>
      </c>
      <c r="T7" s="38">
        <f t="shared" si="3"/>
        <v>15200000</v>
      </c>
      <c r="U7" s="38">
        <f t="shared" si="3"/>
        <v>15200000</v>
      </c>
      <c r="V7" s="38">
        <f t="shared" si="3"/>
        <v>15200000</v>
      </c>
      <c r="W7" s="38">
        <f t="shared" si="3"/>
        <v>15200000</v>
      </c>
      <c r="X7" s="38">
        <f t="shared" si="3"/>
        <v>15200000</v>
      </c>
      <c r="Y7" s="38">
        <f t="shared" si="3"/>
        <v>15200000</v>
      </c>
      <c r="Z7" s="38">
        <f t="shared" si="3"/>
        <v>15200000</v>
      </c>
      <c r="AA7" s="38">
        <f t="shared" si="3"/>
        <v>15200000</v>
      </c>
      <c r="AB7" s="38">
        <f t="shared" si="3"/>
        <v>15200000</v>
      </c>
      <c r="AC7" s="38">
        <f t="shared" si="3"/>
        <v>15200000</v>
      </c>
    </row>
    <row r="8" spans="4:29" x14ac:dyDescent="0.35">
      <c r="D8" s="27" t="s">
        <v>76</v>
      </c>
      <c r="E8" s="61">
        <v>4</v>
      </c>
      <c r="F8" s="29" t="s">
        <v>88</v>
      </c>
      <c r="H8" s="37" t="s">
        <v>39</v>
      </c>
      <c r="I8" s="38"/>
      <c r="J8" s="38">
        <f>$E$9+$E$10*$E$11</f>
        <v>31000000</v>
      </c>
      <c r="K8" s="38">
        <f t="shared" ref="K8:AC8" si="4">$E$9+$E$10*$E$11</f>
        <v>31000000</v>
      </c>
      <c r="L8" s="38">
        <f t="shared" si="4"/>
        <v>31000000</v>
      </c>
      <c r="M8" s="38">
        <f t="shared" si="4"/>
        <v>31000000</v>
      </c>
      <c r="N8" s="38">
        <f t="shared" si="4"/>
        <v>31000000</v>
      </c>
      <c r="O8" s="38">
        <f t="shared" si="4"/>
        <v>31000000</v>
      </c>
      <c r="P8" s="38">
        <f t="shared" si="4"/>
        <v>31000000</v>
      </c>
      <c r="Q8" s="38">
        <f t="shared" si="4"/>
        <v>31000000</v>
      </c>
      <c r="R8" s="38">
        <f t="shared" si="4"/>
        <v>31000000</v>
      </c>
      <c r="S8" s="38">
        <f t="shared" si="4"/>
        <v>31000000</v>
      </c>
      <c r="T8" s="38">
        <f t="shared" si="4"/>
        <v>31000000</v>
      </c>
      <c r="U8" s="38">
        <f t="shared" si="4"/>
        <v>31000000</v>
      </c>
      <c r="V8" s="38">
        <f t="shared" si="4"/>
        <v>31000000</v>
      </c>
      <c r="W8" s="38">
        <f t="shared" si="4"/>
        <v>31000000</v>
      </c>
      <c r="X8" s="38">
        <f t="shared" si="4"/>
        <v>31000000</v>
      </c>
      <c r="Y8" s="38">
        <f t="shared" si="4"/>
        <v>31000000</v>
      </c>
      <c r="Z8" s="38">
        <f t="shared" si="4"/>
        <v>31000000</v>
      </c>
      <c r="AA8" s="38">
        <f t="shared" si="4"/>
        <v>31000000</v>
      </c>
      <c r="AB8" s="38">
        <f t="shared" si="4"/>
        <v>31000000</v>
      </c>
      <c r="AC8" s="38">
        <f t="shared" si="4"/>
        <v>31000000</v>
      </c>
    </row>
    <row r="9" spans="4:29" x14ac:dyDescent="0.35">
      <c r="D9" s="27" t="s">
        <v>77</v>
      </c>
      <c r="E9" s="61">
        <v>1000000</v>
      </c>
      <c r="F9" s="29" t="s">
        <v>56</v>
      </c>
      <c r="H9" s="34" t="s">
        <v>10</v>
      </c>
      <c r="I9" s="35"/>
      <c r="J9" s="35">
        <f>J6-J7-J8</f>
        <v>47280000</v>
      </c>
      <c r="K9" s="35">
        <f t="shared" ref="K9:AC9" si="5">K6-K7-K8</f>
        <v>47280000</v>
      </c>
      <c r="L9" s="35">
        <f t="shared" si="5"/>
        <v>47280000</v>
      </c>
      <c r="M9" s="35">
        <f t="shared" si="5"/>
        <v>47280000</v>
      </c>
      <c r="N9" s="35">
        <f t="shared" si="5"/>
        <v>47280000</v>
      </c>
      <c r="O9" s="35">
        <f t="shared" si="5"/>
        <v>47280000</v>
      </c>
      <c r="P9" s="35">
        <f t="shared" si="5"/>
        <v>47280000</v>
      </c>
      <c r="Q9" s="35">
        <f t="shared" si="5"/>
        <v>47280000</v>
      </c>
      <c r="R9" s="35">
        <f t="shared" si="5"/>
        <v>47280000</v>
      </c>
      <c r="S9" s="35">
        <f t="shared" si="5"/>
        <v>47280000</v>
      </c>
      <c r="T9" s="35">
        <f t="shared" si="5"/>
        <v>47280000</v>
      </c>
      <c r="U9" s="35">
        <f t="shared" si="5"/>
        <v>47280000</v>
      </c>
      <c r="V9" s="35">
        <f t="shared" si="5"/>
        <v>47280000</v>
      </c>
      <c r="W9" s="35">
        <f t="shared" si="5"/>
        <v>47280000</v>
      </c>
      <c r="X9" s="35">
        <f t="shared" si="5"/>
        <v>47280000</v>
      </c>
      <c r="Y9" s="35">
        <f t="shared" si="5"/>
        <v>47280000</v>
      </c>
      <c r="Z9" s="35">
        <f t="shared" si="5"/>
        <v>47280000</v>
      </c>
      <c r="AA9" s="35">
        <f t="shared" si="5"/>
        <v>47280000</v>
      </c>
      <c r="AB9" s="35">
        <f t="shared" si="5"/>
        <v>47280000</v>
      </c>
      <c r="AC9" s="35">
        <f t="shared" si="5"/>
        <v>47280000</v>
      </c>
    </row>
    <row r="10" spans="4:29" x14ac:dyDescent="0.35">
      <c r="D10" s="27" t="s">
        <v>78</v>
      </c>
      <c r="E10" s="36">
        <v>500000000</v>
      </c>
      <c r="F10" s="29" t="s">
        <v>79</v>
      </c>
      <c r="H10" s="37" t="s">
        <v>40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4:29" x14ac:dyDescent="0.35">
      <c r="D11" s="27" t="s">
        <v>80</v>
      </c>
      <c r="E11" s="61">
        <v>0.06</v>
      </c>
      <c r="F11" s="29" t="s">
        <v>81</v>
      </c>
      <c r="H11" s="37" t="s">
        <v>41</v>
      </c>
      <c r="I11" s="38"/>
      <c r="J11" s="38">
        <f>$E$12</f>
        <v>1200000</v>
      </c>
      <c r="K11" s="38">
        <f t="shared" ref="K11:AC11" si="6">$E$12</f>
        <v>1200000</v>
      </c>
      <c r="L11" s="38">
        <f t="shared" si="6"/>
        <v>1200000</v>
      </c>
      <c r="M11" s="38">
        <f t="shared" si="6"/>
        <v>1200000</v>
      </c>
      <c r="N11" s="38">
        <f t="shared" si="6"/>
        <v>1200000</v>
      </c>
      <c r="O11" s="38">
        <f t="shared" si="6"/>
        <v>1200000</v>
      </c>
      <c r="P11" s="38">
        <f t="shared" si="6"/>
        <v>1200000</v>
      </c>
      <c r="Q11" s="38">
        <f t="shared" si="6"/>
        <v>1200000</v>
      </c>
      <c r="R11" s="38">
        <f t="shared" si="6"/>
        <v>1200000</v>
      </c>
      <c r="S11" s="38">
        <f t="shared" si="6"/>
        <v>1200000</v>
      </c>
      <c r="T11" s="38">
        <f t="shared" si="6"/>
        <v>1200000</v>
      </c>
      <c r="U11" s="38">
        <f t="shared" si="6"/>
        <v>1200000</v>
      </c>
      <c r="V11" s="38">
        <f t="shared" si="6"/>
        <v>1200000</v>
      </c>
      <c r="W11" s="38">
        <f t="shared" si="6"/>
        <v>1200000</v>
      </c>
      <c r="X11" s="38">
        <f t="shared" si="6"/>
        <v>1200000</v>
      </c>
      <c r="Y11" s="38">
        <f t="shared" si="6"/>
        <v>1200000</v>
      </c>
      <c r="Z11" s="38">
        <f t="shared" si="6"/>
        <v>1200000</v>
      </c>
      <c r="AA11" s="38">
        <f t="shared" si="6"/>
        <v>1200000</v>
      </c>
      <c r="AB11" s="38">
        <f t="shared" si="6"/>
        <v>1200000</v>
      </c>
      <c r="AC11" s="38">
        <f t="shared" si="6"/>
        <v>1200000</v>
      </c>
    </row>
    <row r="12" spans="4:29" x14ac:dyDescent="0.35">
      <c r="D12" s="27" t="s">
        <v>11</v>
      </c>
      <c r="E12" s="61">
        <v>1200000</v>
      </c>
      <c r="F12" s="29" t="s">
        <v>56</v>
      </c>
      <c r="H12" s="37" t="s">
        <v>42</v>
      </c>
      <c r="I12" s="38"/>
      <c r="J12" s="38">
        <f>$E$16*$I$20</f>
        <v>11200000</v>
      </c>
      <c r="K12" s="38">
        <f t="shared" ref="K12:AC12" si="7">$E$16*$I$20</f>
        <v>11200000</v>
      </c>
      <c r="L12" s="38">
        <f t="shared" si="7"/>
        <v>11200000</v>
      </c>
      <c r="M12" s="38">
        <f t="shared" si="7"/>
        <v>11200000</v>
      </c>
      <c r="N12" s="38">
        <f t="shared" si="7"/>
        <v>11200000</v>
      </c>
      <c r="O12" s="38">
        <f t="shared" si="7"/>
        <v>11200000</v>
      </c>
      <c r="P12" s="38">
        <f t="shared" si="7"/>
        <v>11200000</v>
      </c>
      <c r="Q12" s="38">
        <f t="shared" si="7"/>
        <v>11200000</v>
      </c>
      <c r="R12" s="38">
        <f t="shared" si="7"/>
        <v>11200000</v>
      </c>
      <c r="S12" s="38">
        <f t="shared" si="7"/>
        <v>11200000</v>
      </c>
      <c r="T12" s="38">
        <f t="shared" si="7"/>
        <v>11200000</v>
      </c>
      <c r="U12" s="38">
        <f t="shared" si="7"/>
        <v>11200000</v>
      </c>
      <c r="V12" s="38">
        <f t="shared" si="7"/>
        <v>11200000</v>
      </c>
      <c r="W12" s="38">
        <f t="shared" si="7"/>
        <v>11200000</v>
      </c>
      <c r="X12" s="38">
        <f t="shared" si="7"/>
        <v>11200000</v>
      </c>
      <c r="Y12" s="38">
        <f t="shared" si="7"/>
        <v>11200000</v>
      </c>
      <c r="Z12" s="38">
        <f t="shared" si="7"/>
        <v>11200000</v>
      </c>
      <c r="AA12" s="38">
        <f t="shared" si="7"/>
        <v>11200000</v>
      </c>
      <c r="AB12" s="38">
        <f t="shared" si="7"/>
        <v>11200000</v>
      </c>
      <c r="AC12" s="38">
        <f t="shared" si="7"/>
        <v>11200000</v>
      </c>
    </row>
    <row r="13" spans="4:29" x14ac:dyDescent="0.35">
      <c r="D13" s="27" t="s">
        <v>82</v>
      </c>
      <c r="E13" s="62" t="s">
        <v>83</v>
      </c>
      <c r="F13" s="63"/>
      <c r="H13" s="34" t="s">
        <v>45</v>
      </c>
      <c r="I13" s="35"/>
      <c r="J13" s="35">
        <f>J9-J10-J11-J12</f>
        <v>34880000</v>
      </c>
      <c r="K13" s="35">
        <f t="shared" ref="K13:AC13" si="8">K9-K10-K11-K12</f>
        <v>34880000</v>
      </c>
      <c r="L13" s="35">
        <f t="shared" si="8"/>
        <v>34880000</v>
      </c>
      <c r="M13" s="35">
        <f t="shared" si="8"/>
        <v>34880000</v>
      </c>
      <c r="N13" s="35">
        <f t="shared" si="8"/>
        <v>34880000</v>
      </c>
      <c r="O13" s="35">
        <f t="shared" si="8"/>
        <v>34880000</v>
      </c>
      <c r="P13" s="35">
        <f t="shared" si="8"/>
        <v>34880000</v>
      </c>
      <c r="Q13" s="35">
        <f t="shared" si="8"/>
        <v>34880000</v>
      </c>
      <c r="R13" s="35">
        <f t="shared" si="8"/>
        <v>34880000</v>
      </c>
      <c r="S13" s="35">
        <f t="shared" si="8"/>
        <v>34880000</v>
      </c>
      <c r="T13" s="35">
        <f t="shared" si="8"/>
        <v>34880000</v>
      </c>
      <c r="U13" s="35">
        <f t="shared" si="8"/>
        <v>34880000</v>
      </c>
      <c r="V13" s="35">
        <f t="shared" si="8"/>
        <v>34880000</v>
      </c>
      <c r="W13" s="35">
        <f t="shared" si="8"/>
        <v>34880000</v>
      </c>
      <c r="X13" s="35">
        <f t="shared" si="8"/>
        <v>34880000</v>
      </c>
      <c r="Y13" s="35">
        <f t="shared" si="8"/>
        <v>34880000</v>
      </c>
      <c r="Z13" s="35">
        <f t="shared" si="8"/>
        <v>34880000</v>
      </c>
      <c r="AA13" s="35">
        <f t="shared" si="8"/>
        <v>34880000</v>
      </c>
      <c r="AB13" s="35">
        <f t="shared" si="8"/>
        <v>34880000</v>
      </c>
      <c r="AC13" s="35">
        <f t="shared" si="8"/>
        <v>34880000</v>
      </c>
    </row>
    <row r="14" spans="4:29" x14ac:dyDescent="0.35">
      <c r="D14" s="27" t="s">
        <v>67</v>
      </c>
      <c r="E14" s="61">
        <v>60000000</v>
      </c>
      <c r="F14" s="29"/>
      <c r="H14" s="37" t="s">
        <v>84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4:29" x14ac:dyDescent="0.35">
      <c r="D15" s="27" t="s">
        <v>3</v>
      </c>
      <c r="E15" s="39">
        <v>0.15</v>
      </c>
      <c r="F15" s="29"/>
      <c r="H15" s="34" t="s">
        <v>12</v>
      </c>
      <c r="I15" s="35"/>
      <c r="J15" s="35">
        <f>J13-J14</f>
        <v>34880000</v>
      </c>
      <c r="K15" s="35">
        <f t="shared" ref="K15:AC15" si="9">K13-K14</f>
        <v>34880000</v>
      </c>
      <c r="L15" s="35">
        <f t="shared" si="9"/>
        <v>34880000</v>
      </c>
      <c r="M15" s="35">
        <f t="shared" si="9"/>
        <v>34880000</v>
      </c>
      <c r="N15" s="35">
        <f t="shared" si="9"/>
        <v>34880000</v>
      </c>
      <c r="O15" s="35">
        <f t="shared" si="9"/>
        <v>34880000</v>
      </c>
      <c r="P15" s="35">
        <f t="shared" si="9"/>
        <v>34880000</v>
      </c>
      <c r="Q15" s="35">
        <f t="shared" si="9"/>
        <v>34880000</v>
      </c>
      <c r="R15" s="35">
        <f t="shared" si="9"/>
        <v>34880000</v>
      </c>
      <c r="S15" s="35">
        <f t="shared" si="9"/>
        <v>34880000</v>
      </c>
      <c r="T15" s="35">
        <f t="shared" si="9"/>
        <v>34880000</v>
      </c>
      <c r="U15" s="35">
        <f t="shared" si="9"/>
        <v>34880000</v>
      </c>
      <c r="V15" s="35">
        <f t="shared" si="9"/>
        <v>34880000</v>
      </c>
      <c r="W15" s="35">
        <f t="shared" si="9"/>
        <v>34880000</v>
      </c>
      <c r="X15" s="35">
        <f t="shared" si="9"/>
        <v>34880000</v>
      </c>
      <c r="Y15" s="35">
        <f t="shared" si="9"/>
        <v>34880000</v>
      </c>
      <c r="Z15" s="35">
        <f t="shared" si="9"/>
        <v>34880000</v>
      </c>
      <c r="AA15" s="35">
        <f t="shared" si="9"/>
        <v>34880000</v>
      </c>
      <c r="AB15" s="35">
        <f t="shared" si="9"/>
        <v>34880000</v>
      </c>
      <c r="AC15" s="35">
        <f t="shared" si="9"/>
        <v>34880000</v>
      </c>
    </row>
    <row r="16" spans="4:29" x14ac:dyDescent="0.35">
      <c r="D16" s="27" t="s">
        <v>6</v>
      </c>
      <c r="E16" s="40">
        <v>0.04</v>
      </c>
      <c r="F16" s="41"/>
      <c r="H16" s="37" t="s">
        <v>44</v>
      </c>
      <c r="I16" s="38"/>
      <c r="J16" s="38">
        <f>$E$17*J15</f>
        <v>12208000</v>
      </c>
      <c r="K16" s="38">
        <f t="shared" ref="K16:AC16" si="10">$E$17*K15</f>
        <v>12208000</v>
      </c>
      <c r="L16" s="38">
        <f t="shared" si="10"/>
        <v>12208000</v>
      </c>
      <c r="M16" s="38">
        <f t="shared" si="10"/>
        <v>12208000</v>
      </c>
      <c r="N16" s="38">
        <f t="shared" si="10"/>
        <v>12208000</v>
      </c>
      <c r="O16" s="38">
        <f t="shared" si="10"/>
        <v>12208000</v>
      </c>
      <c r="P16" s="38">
        <f t="shared" si="10"/>
        <v>12208000</v>
      </c>
      <c r="Q16" s="38">
        <f t="shared" si="10"/>
        <v>12208000</v>
      </c>
      <c r="R16" s="38">
        <f t="shared" si="10"/>
        <v>12208000</v>
      </c>
      <c r="S16" s="38">
        <f t="shared" si="10"/>
        <v>12208000</v>
      </c>
      <c r="T16" s="38">
        <f t="shared" si="10"/>
        <v>12208000</v>
      </c>
      <c r="U16" s="38">
        <f t="shared" si="10"/>
        <v>12208000</v>
      </c>
      <c r="V16" s="38">
        <f t="shared" si="10"/>
        <v>12208000</v>
      </c>
      <c r="W16" s="38">
        <f t="shared" si="10"/>
        <v>12208000</v>
      </c>
      <c r="X16" s="38">
        <f t="shared" si="10"/>
        <v>12208000</v>
      </c>
      <c r="Y16" s="38">
        <f t="shared" si="10"/>
        <v>12208000</v>
      </c>
      <c r="Z16" s="38">
        <f t="shared" si="10"/>
        <v>12208000</v>
      </c>
      <c r="AA16" s="38">
        <f t="shared" si="10"/>
        <v>12208000</v>
      </c>
      <c r="AB16" s="38">
        <f t="shared" si="10"/>
        <v>12208000</v>
      </c>
      <c r="AC16" s="38">
        <f t="shared" si="10"/>
        <v>12208000</v>
      </c>
    </row>
    <row r="17" spans="3:29" x14ac:dyDescent="0.35">
      <c r="D17" s="27" t="s">
        <v>68</v>
      </c>
      <c r="E17" s="42">
        <v>0.35</v>
      </c>
      <c r="F17" s="29"/>
      <c r="H17" s="34" t="s">
        <v>13</v>
      </c>
      <c r="I17" s="35"/>
      <c r="J17" s="35">
        <f>J15-J16</f>
        <v>22672000</v>
      </c>
      <c r="K17" s="35">
        <f t="shared" ref="K17:AC17" si="11">K15-K16</f>
        <v>22672000</v>
      </c>
      <c r="L17" s="35">
        <f t="shared" si="11"/>
        <v>22672000</v>
      </c>
      <c r="M17" s="35">
        <f t="shared" si="11"/>
        <v>22672000</v>
      </c>
      <c r="N17" s="35">
        <f t="shared" si="11"/>
        <v>22672000</v>
      </c>
      <c r="O17" s="35">
        <f t="shared" si="11"/>
        <v>22672000</v>
      </c>
      <c r="P17" s="35">
        <f t="shared" si="11"/>
        <v>22672000</v>
      </c>
      <c r="Q17" s="35">
        <f t="shared" si="11"/>
        <v>22672000</v>
      </c>
      <c r="R17" s="35">
        <f t="shared" si="11"/>
        <v>22672000</v>
      </c>
      <c r="S17" s="35">
        <f t="shared" si="11"/>
        <v>22672000</v>
      </c>
      <c r="T17" s="35">
        <f t="shared" si="11"/>
        <v>22672000</v>
      </c>
      <c r="U17" s="35">
        <f t="shared" si="11"/>
        <v>22672000</v>
      </c>
      <c r="V17" s="35">
        <f t="shared" si="11"/>
        <v>22672000</v>
      </c>
      <c r="W17" s="35">
        <f t="shared" si="11"/>
        <v>22672000</v>
      </c>
      <c r="X17" s="35">
        <f t="shared" si="11"/>
        <v>22672000</v>
      </c>
      <c r="Y17" s="35">
        <f t="shared" si="11"/>
        <v>22672000</v>
      </c>
      <c r="Z17" s="35">
        <f t="shared" si="11"/>
        <v>22672000</v>
      </c>
      <c r="AA17" s="35">
        <f t="shared" si="11"/>
        <v>22672000</v>
      </c>
      <c r="AB17" s="35">
        <f t="shared" si="11"/>
        <v>22672000</v>
      </c>
      <c r="AC17" s="35">
        <f t="shared" si="11"/>
        <v>22672000</v>
      </c>
    </row>
    <row r="18" spans="3:29" x14ac:dyDescent="0.35">
      <c r="D18" s="6" t="s">
        <v>62</v>
      </c>
      <c r="E18" s="105">
        <v>0.18</v>
      </c>
      <c r="F18" s="106"/>
      <c r="H18" s="37" t="s">
        <v>14</v>
      </c>
      <c r="I18" s="38"/>
      <c r="J18" s="38">
        <f>J12</f>
        <v>11200000</v>
      </c>
      <c r="K18" s="38">
        <f t="shared" ref="K18:AA18" si="12">K12</f>
        <v>11200000</v>
      </c>
      <c r="L18" s="38">
        <f t="shared" si="12"/>
        <v>11200000</v>
      </c>
      <c r="M18" s="38">
        <f t="shared" si="12"/>
        <v>11200000</v>
      </c>
      <c r="N18" s="38">
        <f t="shared" si="12"/>
        <v>11200000</v>
      </c>
      <c r="O18" s="38">
        <f t="shared" si="12"/>
        <v>11200000</v>
      </c>
      <c r="P18" s="38">
        <f t="shared" si="12"/>
        <v>11200000</v>
      </c>
      <c r="Q18" s="38">
        <f t="shared" si="12"/>
        <v>11200000</v>
      </c>
      <c r="R18" s="38">
        <f t="shared" si="12"/>
        <v>11200000</v>
      </c>
      <c r="S18" s="38">
        <f t="shared" si="12"/>
        <v>11200000</v>
      </c>
      <c r="T18" s="38">
        <f t="shared" si="12"/>
        <v>11200000</v>
      </c>
      <c r="U18" s="38">
        <f t="shared" si="12"/>
        <v>11200000</v>
      </c>
      <c r="V18" s="38">
        <f t="shared" si="12"/>
        <v>11200000</v>
      </c>
      <c r="W18" s="38">
        <f t="shared" si="12"/>
        <v>11200000</v>
      </c>
      <c r="X18" s="38">
        <f t="shared" si="12"/>
        <v>11200000</v>
      </c>
      <c r="Y18" s="38">
        <f t="shared" si="12"/>
        <v>11200000</v>
      </c>
      <c r="Z18" s="38">
        <f t="shared" si="12"/>
        <v>11200000</v>
      </c>
      <c r="AA18" s="38">
        <f t="shared" si="12"/>
        <v>11200000</v>
      </c>
      <c r="AB18" s="38">
        <f>AB12</f>
        <v>11200000</v>
      </c>
      <c r="AC18" s="38">
        <f>AC12</f>
        <v>11200000</v>
      </c>
    </row>
    <row r="19" spans="3:29" x14ac:dyDescent="0.35">
      <c r="D19" s="27" t="s">
        <v>85</v>
      </c>
      <c r="E19" s="43">
        <v>0.7</v>
      </c>
      <c r="F19" s="44" t="s">
        <v>89</v>
      </c>
      <c r="H19" s="37" t="s">
        <v>15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3:29" x14ac:dyDescent="0.35">
      <c r="D20" s="27" t="s">
        <v>86</v>
      </c>
      <c r="E20" s="45">
        <v>10</v>
      </c>
      <c r="F20" s="29" t="s">
        <v>2</v>
      </c>
      <c r="H20" s="37" t="s">
        <v>16</v>
      </c>
      <c r="I20" s="38">
        <f>$E$3*$E$4</f>
        <v>280000000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3:29" x14ac:dyDescent="0.35">
      <c r="D21" s="27" t="s">
        <v>55</v>
      </c>
      <c r="E21" s="46">
        <v>0.14000000000000001</v>
      </c>
      <c r="F21" s="47" t="s">
        <v>59</v>
      </c>
      <c r="H21" s="48" t="s">
        <v>64</v>
      </c>
      <c r="I21" s="38">
        <f>$E$5</f>
        <v>25000000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3:29" x14ac:dyDescent="0.35">
      <c r="D22" s="27" t="s">
        <v>99</v>
      </c>
      <c r="E22" s="27">
        <f>100/4</f>
        <v>25</v>
      </c>
      <c r="F22" s="27" t="s">
        <v>2</v>
      </c>
      <c r="H22" s="37" t="s">
        <v>17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79">
        <f>E14-M30+I21</f>
        <v>83600000</v>
      </c>
    </row>
    <row r="23" spans="3:29" x14ac:dyDescent="0.35">
      <c r="H23" s="34" t="s">
        <v>18</v>
      </c>
      <c r="I23" s="35">
        <f>I17+I18-I19-I20-I21+I22</f>
        <v>-305000000</v>
      </c>
      <c r="J23" s="35">
        <f t="shared" ref="J23:AC23" si="13">J17+J18-J19-J20-J21+J22</f>
        <v>33872000</v>
      </c>
      <c r="K23" s="35">
        <f t="shared" si="13"/>
        <v>33872000</v>
      </c>
      <c r="L23" s="35">
        <f t="shared" si="13"/>
        <v>33872000</v>
      </c>
      <c r="M23" s="35">
        <f t="shared" si="13"/>
        <v>33872000</v>
      </c>
      <c r="N23" s="35">
        <f t="shared" si="13"/>
        <v>33872000</v>
      </c>
      <c r="O23" s="35">
        <f t="shared" si="13"/>
        <v>33872000</v>
      </c>
      <c r="P23" s="35">
        <f t="shared" si="13"/>
        <v>33872000</v>
      </c>
      <c r="Q23" s="35">
        <f t="shared" si="13"/>
        <v>33872000</v>
      </c>
      <c r="R23" s="35">
        <f t="shared" si="13"/>
        <v>33872000</v>
      </c>
      <c r="S23" s="35">
        <f t="shared" si="13"/>
        <v>33872000</v>
      </c>
      <c r="T23" s="35">
        <f t="shared" si="13"/>
        <v>33872000</v>
      </c>
      <c r="U23" s="35">
        <f t="shared" si="13"/>
        <v>33872000</v>
      </c>
      <c r="V23" s="35">
        <f t="shared" si="13"/>
        <v>33872000</v>
      </c>
      <c r="W23" s="35">
        <f t="shared" si="13"/>
        <v>33872000</v>
      </c>
      <c r="X23" s="35">
        <f t="shared" si="13"/>
        <v>33872000</v>
      </c>
      <c r="Y23" s="35">
        <f t="shared" si="13"/>
        <v>33872000</v>
      </c>
      <c r="Z23" s="35">
        <f t="shared" si="13"/>
        <v>33872000</v>
      </c>
      <c r="AA23" s="35">
        <f t="shared" si="13"/>
        <v>33872000</v>
      </c>
      <c r="AB23" s="35">
        <f t="shared" si="13"/>
        <v>33872000</v>
      </c>
      <c r="AC23" s="35">
        <f t="shared" si="13"/>
        <v>117472000</v>
      </c>
    </row>
    <row r="24" spans="3:29" x14ac:dyDescent="0.35">
      <c r="C24" s="68"/>
      <c r="D24" s="32" t="s">
        <v>100</v>
      </c>
      <c r="E24" s="32">
        <v>36.93</v>
      </c>
      <c r="F24" s="94" t="s">
        <v>88</v>
      </c>
      <c r="H24" s="49"/>
    </row>
    <row r="25" spans="3:29" x14ac:dyDescent="0.35">
      <c r="C25" s="69"/>
      <c r="D25" s="120" t="s">
        <v>101</v>
      </c>
      <c r="E25" s="120"/>
      <c r="F25" s="120"/>
      <c r="H25" s="31" t="s">
        <v>4</v>
      </c>
      <c r="I25" s="65">
        <f>IRR(I23:AC23)</f>
        <v>9.8106599161877028E-2</v>
      </c>
    </row>
    <row r="26" spans="3:29" x14ac:dyDescent="0.35">
      <c r="C26" s="69"/>
      <c r="D26" s="71"/>
      <c r="E26" s="71"/>
      <c r="F26" s="72"/>
      <c r="H26" s="31" t="s">
        <v>19</v>
      </c>
      <c r="I26" s="67">
        <f>NPV(E15,J23:AC23)+I23</f>
        <v>-87875941.002399087</v>
      </c>
    </row>
    <row r="27" spans="3:29" x14ac:dyDescent="0.35">
      <c r="H27" s="49"/>
    </row>
    <row r="28" spans="3:29" x14ac:dyDescent="0.35">
      <c r="H28" s="114" t="s">
        <v>46</v>
      </c>
      <c r="I28" s="115"/>
      <c r="J28" s="115"/>
      <c r="K28" s="115"/>
      <c r="L28" s="115"/>
      <c r="M28" s="115"/>
      <c r="N28" s="116"/>
    </row>
    <row r="29" spans="3:29" x14ac:dyDescent="0.35">
      <c r="H29" s="50" t="s">
        <v>1</v>
      </c>
      <c r="I29" s="117" t="s">
        <v>47</v>
      </c>
      <c r="J29" s="117"/>
      <c r="K29" s="117" t="s">
        <v>48</v>
      </c>
      <c r="L29" s="117"/>
      <c r="M29" s="117" t="s">
        <v>49</v>
      </c>
      <c r="N29" s="117"/>
    </row>
    <row r="30" spans="3:29" x14ac:dyDescent="0.35">
      <c r="F30" s="51"/>
      <c r="H30" s="38">
        <f>SUM(J18:AC18)</f>
        <v>224000000</v>
      </c>
      <c r="I30" s="118">
        <f>I20-H30</f>
        <v>56000000</v>
      </c>
      <c r="J30" s="119"/>
      <c r="K30" s="118">
        <f>E14-I30</f>
        <v>4000000</v>
      </c>
      <c r="L30" s="119"/>
      <c r="M30" s="118">
        <f>$E$17*K30</f>
        <v>1400000</v>
      </c>
      <c r="N30" s="119"/>
    </row>
    <row r="31" spans="3:29" x14ac:dyDescent="0.35">
      <c r="H31" s="49"/>
    </row>
    <row r="32" spans="3:29" x14ac:dyDescent="0.35">
      <c r="C32" s="32" t="s">
        <v>87</v>
      </c>
      <c r="D32" s="48"/>
      <c r="H32" s="49"/>
    </row>
    <row r="33" spans="2:29" x14ac:dyDescent="0.35">
      <c r="C33" s="95" t="s">
        <v>51</v>
      </c>
      <c r="D33" s="32" t="s">
        <v>90</v>
      </c>
      <c r="H33" s="113" t="s">
        <v>98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</row>
    <row r="34" spans="2:29" x14ac:dyDescent="0.35">
      <c r="C34" s="52">
        <f>E19</f>
        <v>0.7</v>
      </c>
      <c r="D34" s="100">
        <f>E19*I20</f>
        <v>196000000</v>
      </c>
      <c r="H34" s="31" t="s">
        <v>5</v>
      </c>
      <c r="I34" s="32">
        <v>0</v>
      </c>
      <c r="J34" s="32">
        <v>1</v>
      </c>
      <c r="K34" s="32">
        <v>2</v>
      </c>
      <c r="L34" s="32">
        <v>3</v>
      </c>
      <c r="M34" s="32">
        <v>4</v>
      </c>
      <c r="N34" s="32">
        <v>5</v>
      </c>
      <c r="O34" s="32">
        <v>6</v>
      </c>
      <c r="P34" s="32">
        <v>7</v>
      </c>
      <c r="Q34" s="32">
        <v>8</v>
      </c>
      <c r="R34" s="32">
        <v>9</v>
      </c>
      <c r="S34" s="32">
        <v>10</v>
      </c>
      <c r="T34" s="32">
        <v>11</v>
      </c>
      <c r="U34" s="32">
        <v>12</v>
      </c>
      <c r="V34" s="32">
        <v>13</v>
      </c>
      <c r="W34" s="32">
        <v>14</v>
      </c>
      <c r="X34" s="32">
        <v>15</v>
      </c>
      <c r="Y34" s="32">
        <v>16</v>
      </c>
      <c r="Z34" s="32">
        <v>17</v>
      </c>
      <c r="AA34" s="32">
        <v>18</v>
      </c>
      <c r="AB34" s="32">
        <v>19</v>
      </c>
      <c r="AC34" s="32">
        <v>20</v>
      </c>
    </row>
    <row r="35" spans="2:29" x14ac:dyDescent="0.35">
      <c r="C35" s="32" t="s">
        <v>55</v>
      </c>
      <c r="D35" s="73">
        <f>E21</f>
        <v>0.14000000000000001</v>
      </c>
      <c r="H35" s="34" t="s">
        <v>7</v>
      </c>
      <c r="I35" s="35"/>
      <c r="J35" s="35">
        <f>J4</f>
        <v>114000000</v>
      </c>
      <c r="K35" s="35">
        <f t="shared" ref="K35:AC44" si="14">K4</f>
        <v>114000000</v>
      </c>
      <c r="L35" s="35">
        <f t="shared" si="14"/>
        <v>114000000</v>
      </c>
      <c r="M35" s="35">
        <f t="shared" si="14"/>
        <v>114000000</v>
      </c>
      <c r="N35" s="35">
        <f t="shared" si="14"/>
        <v>114000000</v>
      </c>
      <c r="O35" s="35">
        <f t="shared" si="14"/>
        <v>114000000</v>
      </c>
      <c r="P35" s="35">
        <f t="shared" si="14"/>
        <v>114000000</v>
      </c>
      <c r="Q35" s="35">
        <f t="shared" si="14"/>
        <v>114000000</v>
      </c>
      <c r="R35" s="35">
        <f t="shared" si="14"/>
        <v>114000000</v>
      </c>
      <c r="S35" s="35">
        <f t="shared" si="14"/>
        <v>114000000</v>
      </c>
      <c r="T35" s="35">
        <f t="shared" si="14"/>
        <v>114000000</v>
      </c>
      <c r="U35" s="35">
        <f t="shared" si="14"/>
        <v>114000000</v>
      </c>
      <c r="V35" s="35">
        <f t="shared" si="14"/>
        <v>114000000</v>
      </c>
      <c r="W35" s="35">
        <f t="shared" si="14"/>
        <v>114000000</v>
      </c>
      <c r="X35" s="35">
        <f t="shared" si="14"/>
        <v>114000000</v>
      </c>
      <c r="Y35" s="35">
        <f t="shared" si="14"/>
        <v>114000000</v>
      </c>
      <c r="Z35" s="35">
        <f t="shared" si="14"/>
        <v>114000000</v>
      </c>
      <c r="AA35" s="35">
        <f t="shared" si="14"/>
        <v>114000000</v>
      </c>
      <c r="AB35" s="35">
        <f t="shared" si="14"/>
        <v>114000000</v>
      </c>
      <c r="AC35" s="35">
        <f t="shared" si="14"/>
        <v>114000000</v>
      </c>
    </row>
    <row r="36" spans="2:29" x14ac:dyDescent="0.35">
      <c r="D36" s="53"/>
      <c r="E36" s="53"/>
      <c r="F36" s="53"/>
      <c r="H36" s="31" t="s">
        <v>8</v>
      </c>
      <c r="I36" s="38"/>
      <c r="J36" s="35">
        <f t="shared" ref="J36:Y44" si="15">J5</f>
        <v>20520000</v>
      </c>
      <c r="K36" s="35">
        <f t="shared" si="15"/>
        <v>20520000</v>
      </c>
      <c r="L36" s="35">
        <f t="shared" si="15"/>
        <v>20520000</v>
      </c>
      <c r="M36" s="35">
        <f t="shared" si="15"/>
        <v>20520000</v>
      </c>
      <c r="N36" s="35">
        <f t="shared" si="15"/>
        <v>20520000</v>
      </c>
      <c r="O36" s="35">
        <f t="shared" si="15"/>
        <v>20520000</v>
      </c>
      <c r="P36" s="35">
        <f t="shared" si="15"/>
        <v>20520000</v>
      </c>
      <c r="Q36" s="35">
        <f t="shared" si="15"/>
        <v>20520000</v>
      </c>
      <c r="R36" s="35">
        <f t="shared" si="15"/>
        <v>20520000</v>
      </c>
      <c r="S36" s="35">
        <f t="shared" si="15"/>
        <v>20520000</v>
      </c>
      <c r="T36" s="35">
        <f t="shared" si="15"/>
        <v>20520000</v>
      </c>
      <c r="U36" s="35">
        <f t="shared" si="15"/>
        <v>20520000</v>
      </c>
      <c r="V36" s="35">
        <f t="shared" si="15"/>
        <v>20520000</v>
      </c>
      <c r="W36" s="35">
        <f t="shared" si="15"/>
        <v>20520000</v>
      </c>
      <c r="X36" s="35">
        <f t="shared" si="15"/>
        <v>20520000</v>
      </c>
      <c r="Y36" s="35">
        <f t="shared" si="15"/>
        <v>20520000</v>
      </c>
      <c r="Z36" s="35">
        <f t="shared" si="14"/>
        <v>20520000</v>
      </c>
      <c r="AA36" s="35">
        <f t="shared" si="14"/>
        <v>20520000</v>
      </c>
      <c r="AB36" s="35">
        <f t="shared" si="14"/>
        <v>20520000</v>
      </c>
      <c r="AC36" s="35">
        <f t="shared" si="14"/>
        <v>20520000</v>
      </c>
    </row>
    <row r="37" spans="2:29" x14ac:dyDescent="0.35">
      <c r="B37" s="32" t="s">
        <v>69</v>
      </c>
      <c r="C37" s="32" t="s">
        <v>53</v>
      </c>
      <c r="D37" s="32" t="s">
        <v>52</v>
      </c>
      <c r="E37" s="32" t="s">
        <v>54</v>
      </c>
      <c r="F37" s="32" t="s">
        <v>55</v>
      </c>
      <c r="H37" s="34" t="s">
        <v>9</v>
      </c>
      <c r="I37" s="35"/>
      <c r="J37" s="35">
        <f t="shared" si="15"/>
        <v>93480000</v>
      </c>
      <c r="K37" s="35">
        <f t="shared" si="14"/>
        <v>93480000</v>
      </c>
      <c r="L37" s="35">
        <f t="shared" si="14"/>
        <v>93480000</v>
      </c>
      <c r="M37" s="35">
        <f t="shared" si="14"/>
        <v>93480000</v>
      </c>
      <c r="N37" s="35">
        <f t="shared" si="14"/>
        <v>93480000</v>
      </c>
      <c r="O37" s="35">
        <f t="shared" si="14"/>
        <v>93480000</v>
      </c>
      <c r="P37" s="35">
        <f t="shared" si="14"/>
        <v>93480000</v>
      </c>
      <c r="Q37" s="35">
        <f t="shared" si="14"/>
        <v>93480000</v>
      </c>
      <c r="R37" s="35">
        <f t="shared" si="14"/>
        <v>93480000</v>
      </c>
      <c r="S37" s="35">
        <f t="shared" si="14"/>
        <v>93480000</v>
      </c>
      <c r="T37" s="35">
        <f t="shared" si="14"/>
        <v>93480000</v>
      </c>
      <c r="U37" s="35">
        <f t="shared" si="14"/>
        <v>93480000</v>
      </c>
      <c r="V37" s="35">
        <f t="shared" si="14"/>
        <v>93480000</v>
      </c>
      <c r="W37" s="35">
        <f t="shared" si="14"/>
        <v>93480000</v>
      </c>
      <c r="X37" s="35">
        <f t="shared" si="14"/>
        <v>93480000</v>
      </c>
      <c r="Y37" s="35">
        <f t="shared" si="14"/>
        <v>93480000</v>
      </c>
      <c r="Z37" s="35">
        <f t="shared" si="14"/>
        <v>93480000</v>
      </c>
      <c r="AA37" s="35">
        <f t="shared" si="14"/>
        <v>93480000</v>
      </c>
      <c r="AB37" s="35">
        <f t="shared" si="14"/>
        <v>93480000</v>
      </c>
      <c r="AC37" s="35">
        <f t="shared" si="14"/>
        <v>93480000</v>
      </c>
    </row>
    <row r="38" spans="2:29" x14ac:dyDescent="0.35">
      <c r="B38" s="32">
        <v>0</v>
      </c>
      <c r="C38" s="99">
        <f>D34</f>
        <v>196000000</v>
      </c>
      <c r="D38" s="54"/>
      <c r="E38" s="55"/>
      <c r="F38" s="55"/>
      <c r="H38" s="31" t="s">
        <v>38</v>
      </c>
      <c r="I38" s="38"/>
      <c r="J38" s="35">
        <f t="shared" si="15"/>
        <v>15200000</v>
      </c>
      <c r="K38" s="35">
        <f t="shared" si="14"/>
        <v>15200000</v>
      </c>
      <c r="L38" s="35">
        <f t="shared" si="14"/>
        <v>15200000</v>
      </c>
      <c r="M38" s="35">
        <f t="shared" si="14"/>
        <v>15200000</v>
      </c>
      <c r="N38" s="35">
        <f t="shared" si="14"/>
        <v>15200000</v>
      </c>
      <c r="O38" s="35">
        <f t="shared" si="14"/>
        <v>15200000</v>
      </c>
      <c r="P38" s="35">
        <f t="shared" si="14"/>
        <v>15200000</v>
      </c>
      <c r="Q38" s="35">
        <f t="shared" si="14"/>
        <v>15200000</v>
      </c>
      <c r="R38" s="35">
        <f t="shared" si="14"/>
        <v>15200000</v>
      </c>
      <c r="S38" s="35">
        <f t="shared" si="14"/>
        <v>15200000</v>
      </c>
      <c r="T38" s="35">
        <f t="shared" si="14"/>
        <v>15200000</v>
      </c>
      <c r="U38" s="35">
        <f t="shared" si="14"/>
        <v>15200000</v>
      </c>
      <c r="V38" s="35">
        <f t="shared" si="14"/>
        <v>15200000</v>
      </c>
      <c r="W38" s="35">
        <f t="shared" si="14"/>
        <v>15200000</v>
      </c>
      <c r="X38" s="35">
        <f t="shared" si="14"/>
        <v>15200000</v>
      </c>
      <c r="Y38" s="35">
        <f t="shared" si="14"/>
        <v>15200000</v>
      </c>
      <c r="Z38" s="35">
        <f t="shared" si="14"/>
        <v>15200000</v>
      </c>
      <c r="AA38" s="35">
        <f t="shared" si="14"/>
        <v>15200000</v>
      </c>
      <c r="AB38" s="35">
        <f t="shared" si="14"/>
        <v>15200000</v>
      </c>
      <c r="AC38" s="35">
        <f t="shared" si="14"/>
        <v>15200000</v>
      </c>
    </row>
    <row r="39" spans="2:29" x14ac:dyDescent="0.35">
      <c r="B39" s="32">
        <v>1</v>
      </c>
      <c r="C39" s="54">
        <f>C38-E39</f>
        <v>176400000</v>
      </c>
      <c r="D39" s="54">
        <f>E39+F39</f>
        <v>47040000</v>
      </c>
      <c r="E39" s="102">
        <f>$C$38/10</f>
        <v>19600000</v>
      </c>
      <c r="F39" s="101">
        <f>$D$35*C38</f>
        <v>27440000.000000004</v>
      </c>
      <c r="H39" s="31" t="s">
        <v>39</v>
      </c>
      <c r="I39" s="38"/>
      <c r="J39" s="35">
        <f t="shared" si="15"/>
        <v>31000000</v>
      </c>
      <c r="K39" s="35">
        <f t="shared" si="14"/>
        <v>31000000</v>
      </c>
      <c r="L39" s="35">
        <f t="shared" si="14"/>
        <v>31000000</v>
      </c>
      <c r="M39" s="35">
        <f t="shared" si="14"/>
        <v>31000000</v>
      </c>
      <c r="N39" s="35">
        <f t="shared" si="14"/>
        <v>31000000</v>
      </c>
      <c r="O39" s="35">
        <f t="shared" si="14"/>
        <v>31000000</v>
      </c>
      <c r="P39" s="35">
        <f t="shared" si="14"/>
        <v>31000000</v>
      </c>
      <c r="Q39" s="35">
        <f t="shared" si="14"/>
        <v>31000000</v>
      </c>
      <c r="R39" s="35">
        <f t="shared" si="14"/>
        <v>31000000</v>
      </c>
      <c r="S39" s="35">
        <f t="shared" si="14"/>
        <v>31000000</v>
      </c>
      <c r="T39" s="35">
        <f t="shared" si="14"/>
        <v>31000000</v>
      </c>
      <c r="U39" s="35">
        <f t="shared" si="14"/>
        <v>31000000</v>
      </c>
      <c r="V39" s="35">
        <f t="shared" si="14"/>
        <v>31000000</v>
      </c>
      <c r="W39" s="35">
        <f t="shared" si="14"/>
        <v>31000000</v>
      </c>
      <c r="X39" s="35">
        <f t="shared" si="14"/>
        <v>31000000</v>
      </c>
      <c r="Y39" s="35">
        <f t="shared" si="14"/>
        <v>31000000</v>
      </c>
      <c r="Z39" s="35">
        <f t="shared" si="14"/>
        <v>31000000</v>
      </c>
      <c r="AA39" s="35">
        <f t="shared" si="14"/>
        <v>31000000</v>
      </c>
      <c r="AB39" s="35">
        <f t="shared" si="14"/>
        <v>31000000</v>
      </c>
      <c r="AC39" s="35">
        <f t="shared" si="14"/>
        <v>31000000</v>
      </c>
    </row>
    <row r="40" spans="2:29" x14ac:dyDescent="0.35">
      <c r="B40" s="32">
        <v>2</v>
      </c>
      <c r="C40" s="54">
        <f t="shared" ref="C40:C48" si="16">C39-E40</f>
        <v>156800000</v>
      </c>
      <c r="D40" s="54">
        <f t="shared" ref="D40:D48" si="17">E40+F40</f>
        <v>44296000</v>
      </c>
      <c r="E40" s="102">
        <f t="shared" ref="E40:E48" si="18">$C$38/10</f>
        <v>19600000</v>
      </c>
      <c r="F40" s="101">
        <f t="shared" ref="F40:F48" si="19">$D$35*C39</f>
        <v>24696000.000000004</v>
      </c>
      <c r="H40" s="34" t="s">
        <v>10</v>
      </c>
      <c r="I40" s="35"/>
      <c r="J40" s="35">
        <f t="shared" si="15"/>
        <v>47280000</v>
      </c>
      <c r="K40" s="35">
        <f t="shared" si="14"/>
        <v>47280000</v>
      </c>
      <c r="L40" s="35">
        <f t="shared" si="14"/>
        <v>47280000</v>
      </c>
      <c r="M40" s="35">
        <f t="shared" si="14"/>
        <v>47280000</v>
      </c>
      <c r="N40" s="35">
        <f t="shared" si="14"/>
        <v>47280000</v>
      </c>
      <c r="O40" s="35">
        <f t="shared" si="14"/>
        <v>47280000</v>
      </c>
      <c r="P40" s="35">
        <f t="shared" si="14"/>
        <v>47280000</v>
      </c>
      <c r="Q40" s="35">
        <f t="shared" si="14"/>
        <v>47280000</v>
      </c>
      <c r="R40" s="35">
        <f t="shared" si="14"/>
        <v>47280000</v>
      </c>
      <c r="S40" s="35">
        <f t="shared" si="14"/>
        <v>47280000</v>
      </c>
      <c r="T40" s="35">
        <f t="shared" si="14"/>
        <v>47280000</v>
      </c>
      <c r="U40" s="35">
        <f t="shared" si="14"/>
        <v>47280000</v>
      </c>
      <c r="V40" s="35">
        <f t="shared" si="14"/>
        <v>47280000</v>
      </c>
      <c r="W40" s="35">
        <f t="shared" si="14"/>
        <v>47280000</v>
      </c>
      <c r="X40" s="35">
        <f t="shared" si="14"/>
        <v>47280000</v>
      </c>
      <c r="Y40" s="35">
        <f t="shared" si="14"/>
        <v>47280000</v>
      </c>
      <c r="Z40" s="35">
        <f t="shared" si="14"/>
        <v>47280000</v>
      </c>
      <c r="AA40" s="35">
        <f t="shared" si="14"/>
        <v>47280000</v>
      </c>
      <c r="AB40" s="35">
        <f t="shared" si="14"/>
        <v>47280000</v>
      </c>
      <c r="AC40" s="35">
        <f t="shared" si="14"/>
        <v>47280000</v>
      </c>
    </row>
    <row r="41" spans="2:29" x14ac:dyDescent="0.35">
      <c r="B41" s="32">
        <v>3</v>
      </c>
      <c r="C41" s="54">
        <f t="shared" si="16"/>
        <v>137200000</v>
      </c>
      <c r="D41" s="54">
        <f t="shared" si="17"/>
        <v>41552000</v>
      </c>
      <c r="E41" s="102">
        <f t="shared" si="18"/>
        <v>19600000</v>
      </c>
      <c r="F41" s="101">
        <f t="shared" si="19"/>
        <v>21952000.000000004</v>
      </c>
      <c r="H41" s="31" t="s">
        <v>40</v>
      </c>
      <c r="I41" s="38"/>
      <c r="J41" s="35">
        <f t="shared" si="15"/>
        <v>0</v>
      </c>
      <c r="K41" s="35">
        <f t="shared" si="14"/>
        <v>0</v>
      </c>
      <c r="L41" s="35">
        <f t="shared" si="14"/>
        <v>0</v>
      </c>
      <c r="M41" s="35">
        <f t="shared" si="14"/>
        <v>0</v>
      </c>
      <c r="N41" s="35">
        <f t="shared" si="14"/>
        <v>0</v>
      </c>
      <c r="O41" s="35">
        <f t="shared" si="14"/>
        <v>0</v>
      </c>
      <c r="P41" s="35">
        <f t="shared" si="14"/>
        <v>0</v>
      </c>
      <c r="Q41" s="35">
        <f t="shared" si="14"/>
        <v>0</v>
      </c>
      <c r="R41" s="35">
        <f t="shared" si="14"/>
        <v>0</v>
      </c>
      <c r="S41" s="35">
        <f t="shared" si="14"/>
        <v>0</v>
      </c>
      <c r="T41" s="35">
        <f t="shared" si="14"/>
        <v>0</v>
      </c>
      <c r="U41" s="35">
        <f t="shared" si="14"/>
        <v>0</v>
      </c>
      <c r="V41" s="35">
        <f t="shared" si="14"/>
        <v>0</v>
      </c>
      <c r="W41" s="35">
        <f t="shared" si="14"/>
        <v>0</v>
      </c>
      <c r="X41" s="35">
        <f t="shared" si="14"/>
        <v>0</v>
      </c>
      <c r="Y41" s="35">
        <f t="shared" si="14"/>
        <v>0</v>
      </c>
      <c r="Z41" s="35">
        <f t="shared" si="14"/>
        <v>0</v>
      </c>
      <c r="AA41" s="35">
        <f t="shared" si="14"/>
        <v>0</v>
      </c>
      <c r="AB41" s="35">
        <f t="shared" si="14"/>
        <v>0</v>
      </c>
      <c r="AC41" s="35">
        <f t="shared" si="14"/>
        <v>0</v>
      </c>
    </row>
    <row r="42" spans="2:29" x14ac:dyDescent="0.35">
      <c r="B42" s="32">
        <v>4</v>
      </c>
      <c r="C42" s="54">
        <f t="shared" si="16"/>
        <v>117600000</v>
      </c>
      <c r="D42" s="54">
        <f t="shared" si="17"/>
        <v>38808000</v>
      </c>
      <c r="E42" s="102">
        <f t="shared" si="18"/>
        <v>19600000</v>
      </c>
      <c r="F42" s="101">
        <f t="shared" si="19"/>
        <v>19208000</v>
      </c>
      <c r="H42" s="31" t="s">
        <v>41</v>
      </c>
      <c r="I42" s="38"/>
      <c r="J42" s="35">
        <f t="shared" si="15"/>
        <v>1200000</v>
      </c>
      <c r="K42" s="35">
        <f t="shared" si="14"/>
        <v>1200000</v>
      </c>
      <c r="L42" s="35">
        <f t="shared" si="14"/>
        <v>1200000</v>
      </c>
      <c r="M42" s="35">
        <f t="shared" si="14"/>
        <v>1200000</v>
      </c>
      <c r="N42" s="35">
        <f t="shared" si="14"/>
        <v>1200000</v>
      </c>
      <c r="O42" s="35">
        <f t="shared" si="14"/>
        <v>1200000</v>
      </c>
      <c r="P42" s="35">
        <f t="shared" si="14"/>
        <v>1200000</v>
      </c>
      <c r="Q42" s="35">
        <f t="shared" si="14"/>
        <v>1200000</v>
      </c>
      <c r="R42" s="35">
        <f t="shared" si="14"/>
        <v>1200000</v>
      </c>
      <c r="S42" s="35">
        <f t="shared" si="14"/>
        <v>1200000</v>
      </c>
      <c r="T42" s="35">
        <f t="shared" si="14"/>
        <v>1200000</v>
      </c>
      <c r="U42" s="35">
        <f t="shared" si="14"/>
        <v>1200000</v>
      </c>
      <c r="V42" s="35">
        <f t="shared" si="14"/>
        <v>1200000</v>
      </c>
      <c r="W42" s="35">
        <f t="shared" si="14"/>
        <v>1200000</v>
      </c>
      <c r="X42" s="35">
        <f t="shared" si="14"/>
        <v>1200000</v>
      </c>
      <c r="Y42" s="35">
        <f t="shared" si="14"/>
        <v>1200000</v>
      </c>
      <c r="Z42" s="35">
        <f t="shared" si="14"/>
        <v>1200000</v>
      </c>
      <c r="AA42" s="35">
        <f t="shared" si="14"/>
        <v>1200000</v>
      </c>
      <c r="AB42" s="35">
        <f t="shared" si="14"/>
        <v>1200000</v>
      </c>
      <c r="AC42" s="35">
        <f t="shared" si="14"/>
        <v>1200000</v>
      </c>
    </row>
    <row r="43" spans="2:29" x14ac:dyDescent="0.35">
      <c r="B43" s="32">
        <v>5</v>
      </c>
      <c r="C43" s="54">
        <f t="shared" si="16"/>
        <v>98000000</v>
      </c>
      <c r="D43" s="54">
        <f t="shared" si="17"/>
        <v>36064000</v>
      </c>
      <c r="E43" s="102">
        <f t="shared" si="18"/>
        <v>19600000</v>
      </c>
      <c r="F43" s="101">
        <f t="shared" si="19"/>
        <v>16464000.000000002</v>
      </c>
      <c r="H43" s="31" t="s">
        <v>42</v>
      </c>
      <c r="I43" s="38"/>
      <c r="J43" s="35">
        <f t="shared" si="15"/>
        <v>11200000</v>
      </c>
      <c r="K43" s="35">
        <f t="shared" si="14"/>
        <v>11200000</v>
      </c>
      <c r="L43" s="35">
        <f t="shared" si="14"/>
        <v>11200000</v>
      </c>
      <c r="M43" s="35">
        <f t="shared" si="14"/>
        <v>11200000</v>
      </c>
      <c r="N43" s="35">
        <f t="shared" si="14"/>
        <v>11200000</v>
      </c>
      <c r="O43" s="35">
        <f t="shared" si="14"/>
        <v>11200000</v>
      </c>
      <c r="P43" s="35">
        <f t="shared" si="14"/>
        <v>11200000</v>
      </c>
      <c r="Q43" s="35">
        <f t="shared" si="14"/>
        <v>11200000</v>
      </c>
      <c r="R43" s="35">
        <f t="shared" si="14"/>
        <v>11200000</v>
      </c>
      <c r="S43" s="35">
        <f t="shared" si="14"/>
        <v>11200000</v>
      </c>
      <c r="T43" s="35">
        <f t="shared" si="14"/>
        <v>11200000</v>
      </c>
      <c r="U43" s="35">
        <f t="shared" si="14"/>
        <v>11200000</v>
      </c>
      <c r="V43" s="35">
        <f t="shared" si="14"/>
        <v>11200000</v>
      </c>
      <c r="W43" s="35">
        <f t="shared" si="14"/>
        <v>11200000</v>
      </c>
      <c r="X43" s="35">
        <f t="shared" si="14"/>
        <v>11200000</v>
      </c>
      <c r="Y43" s="35">
        <f t="shared" si="14"/>
        <v>11200000</v>
      </c>
      <c r="Z43" s="35">
        <f t="shared" si="14"/>
        <v>11200000</v>
      </c>
      <c r="AA43" s="35">
        <f t="shared" si="14"/>
        <v>11200000</v>
      </c>
      <c r="AB43" s="35">
        <f t="shared" si="14"/>
        <v>11200000</v>
      </c>
      <c r="AC43" s="35">
        <f t="shared" si="14"/>
        <v>11200000</v>
      </c>
    </row>
    <row r="44" spans="2:29" x14ac:dyDescent="0.35">
      <c r="B44" s="32">
        <v>6</v>
      </c>
      <c r="C44" s="54">
        <f t="shared" si="16"/>
        <v>78400000</v>
      </c>
      <c r="D44" s="54">
        <f t="shared" si="17"/>
        <v>33320000</v>
      </c>
      <c r="E44" s="102">
        <f t="shared" si="18"/>
        <v>19600000</v>
      </c>
      <c r="F44" s="101">
        <f t="shared" si="19"/>
        <v>13720000.000000002</v>
      </c>
      <c r="H44" s="34" t="s">
        <v>45</v>
      </c>
      <c r="I44" s="35"/>
      <c r="J44" s="35">
        <f t="shared" si="15"/>
        <v>34880000</v>
      </c>
      <c r="K44" s="35">
        <f t="shared" si="14"/>
        <v>34880000</v>
      </c>
      <c r="L44" s="35">
        <f t="shared" si="14"/>
        <v>34880000</v>
      </c>
      <c r="M44" s="35">
        <f t="shared" si="14"/>
        <v>34880000</v>
      </c>
      <c r="N44" s="35">
        <f t="shared" si="14"/>
        <v>34880000</v>
      </c>
      <c r="O44" s="35">
        <f t="shared" si="14"/>
        <v>34880000</v>
      </c>
      <c r="P44" s="35">
        <f t="shared" si="14"/>
        <v>34880000</v>
      </c>
      <c r="Q44" s="35">
        <f t="shared" si="14"/>
        <v>34880000</v>
      </c>
      <c r="R44" s="35">
        <f t="shared" si="14"/>
        <v>34880000</v>
      </c>
      <c r="S44" s="35">
        <f t="shared" si="14"/>
        <v>34880000</v>
      </c>
      <c r="T44" s="35">
        <f t="shared" si="14"/>
        <v>34880000</v>
      </c>
      <c r="U44" s="35">
        <f t="shared" si="14"/>
        <v>34880000</v>
      </c>
      <c r="V44" s="35">
        <f t="shared" si="14"/>
        <v>34880000</v>
      </c>
      <c r="W44" s="35">
        <f t="shared" si="14"/>
        <v>34880000</v>
      </c>
      <c r="X44" s="35">
        <f t="shared" si="14"/>
        <v>34880000</v>
      </c>
      <c r="Y44" s="35">
        <f t="shared" si="14"/>
        <v>34880000</v>
      </c>
      <c r="Z44" s="35">
        <f t="shared" si="14"/>
        <v>34880000</v>
      </c>
      <c r="AA44" s="35">
        <f t="shared" si="14"/>
        <v>34880000</v>
      </c>
      <c r="AB44" s="35">
        <f t="shared" si="14"/>
        <v>34880000</v>
      </c>
      <c r="AC44" s="35">
        <f t="shared" si="14"/>
        <v>34880000</v>
      </c>
    </row>
    <row r="45" spans="2:29" x14ac:dyDescent="0.35">
      <c r="B45" s="32">
        <v>7</v>
      </c>
      <c r="C45" s="54">
        <f t="shared" si="16"/>
        <v>58800000</v>
      </c>
      <c r="D45" s="54">
        <f t="shared" si="17"/>
        <v>30576000</v>
      </c>
      <c r="E45" s="102">
        <f t="shared" si="18"/>
        <v>19600000</v>
      </c>
      <c r="F45" s="101">
        <f t="shared" si="19"/>
        <v>10976000.000000002</v>
      </c>
      <c r="H45" s="96" t="s">
        <v>84</v>
      </c>
      <c r="I45" s="38"/>
      <c r="J45" s="55">
        <f t="array" ref="J45:S45">TRANSPOSE(F39:F48)</f>
        <v>27440000.000000004</v>
      </c>
      <c r="K45" s="55">
        <v>24696000.000000004</v>
      </c>
      <c r="L45" s="55">
        <v>21952000.000000004</v>
      </c>
      <c r="M45" s="55">
        <v>19208000</v>
      </c>
      <c r="N45" s="55">
        <v>16464000.000000002</v>
      </c>
      <c r="O45" s="38">
        <v>13720000.000000002</v>
      </c>
      <c r="P45" s="38">
        <v>10976000.000000002</v>
      </c>
      <c r="Q45" s="38">
        <v>8232000.0000000009</v>
      </c>
      <c r="R45" s="38">
        <v>5488000.0000000009</v>
      </c>
      <c r="S45" s="38">
        <v>2744000.0000000005</v>
      </c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2:29" x14ac:dyDescent="0.35">
      <c r="B46" s="32">
        <v>8</v>
      </c>
      <c r="C46" s="54">
        <f t="shared" si="16"/>
        <v>39200000</v>
      </c>
      <c r="D46" s="54">
        <f t="shared" si="17"/>
        <v>27832000</v>
      </c>
      <c r="E46" s="102">
        <f t="shared" si="18"/>
        <v>19600000</v>
      </c>
      <c r="F46" s="101">
        <f t="shared" si="19"/>
        <v>8232000.0000000009</v>
      </c>
      <c r="H46" s="56" t="s">
        <v>12</v>
      </c>
      <c r="I46" s="35"/>
      <c r="J46" s="35">
        <f>J44-J45</f>
        <v>7439999.9999999963</v>
      </c>
      <c r="K46" s="35">
        <f t="shared" ref="K46:AC46" si="20">K44-K45</f>
        <v>10183999.999999996</v>
      </c>
      <c r="L46" s="35">
        <f t="shared" si="20"/>
        <v>12927999.999999996</v>
      </c>
      <c r="M46" s="35">
        <f t="shared" si="20"/>
        <v>15672000</v>
      </c>
      <c r="N46" s="35">
        <f t="shared" si="20"/>
        <v>18416000</v>
      </c>
      <c r="O46" s="35">
        <f t="shared" si="20"/>
        <v>21160000</v>
      </c>
      <c r="P46" s="35">
        <f t="shared" si="20"/>
        <v>23904000</v>
      </c>
      <c r="Q46" s="35">
        <f t="shared" si="20"/>
        <v>26648000</v>
      </c>
      <c r="R46" s="35">
        <f t="shared" si="20"/>
        <v>29392000</v>
      </c>
      <c r="S46" s="35">
        <f t="shared" si="20"/>
        <v>32136000</v>
      </c>
      <c r="T46" s="35">
        <f t="shared" si="20"/>
        <v>34880000</v>
      </c>
      <c r="U46" s="35">
        <f t="shared" si="20"/>
        <v>34880000</v>
      </c>
      <c r="V46" s="35">
        <f t="shared" si="20"/>
        <v>34880000</v>
      </c>
      <c r="W46" s="35">
        <f t="shared" si="20"/>
        <v>34880000</v>
      </c>
      <c r="X46" s="35">
        <f t="shared" si="20"/>
        <v>34880000</v>
      </c>
      <c r="Y46" s="35">
        <f t="shared" si="20"/>
        <v>34880000</v>
      </c>
      <c r="Z46" s="35">
        <f t="shared" si="20"/>
        <v>34880000</v>
      </c>
      <c r="AA46" s="35">
        <f t="shared" si="20"/>
        <v>34880000</v>
      </c>
      <c r="AB46" s="35">
        <f t="shared" si="20"/>
        <v>34880000</v>
      </c>
      <c r="AC46" s="35">
        <f t="shared" si="20"/>
        <v>34880000</v>
      </c>
    </row>
    <row r="47" spans="2:29" x14ac:dyDescent="0.35">
      <c r="B47" s="32">
        <v>9</v>
      </c>
      <c r="C47" s="54">
        <f t="shared" si="16"/>
        <v>19600000</v>
      </c>
      <c r="D47" s="54">
        <f t="shared" si="17"/>
        <v>25088000</v>
      </c>
      <c r="E47" s="102">
        <f t="shared" si="18"/>
        <v>19600000</v>
      </c>
      <c r="F47" s="101">
        <f t="shared" si="19"/>
        <v>5488000.0000000009</v>
      </c>
      <c r="H47" s="31" t="s">
        <v>44</v>
      </c>
      <c r="I47" s="38"/>
      <c r="J47" s="38">
        <f>$E$17*J46</f>
        <v>2603999.9999999986</v>
      </c>
      <c r="K47" s="38">
        <f t="shared" ref="K47:AC47" si="21">$E$17*K46</f>
        <v>3564399.9999999986</v>
      </c>
      <c r="L47" s="38">
        <f t="shared" si="21"/>
        <v>4524799.9999999981</v>
      </c>
      <c r="M47" s="38">
        <f t="shared" si="21"/>
        <v>5485200</v>
      </c>
      <c r="N47" s="38">
        <f t="shared" si="21"/>
        <v>6445600</v>
      </c>
      <c r="O47" s="38">
        <f t="shared" si="21"/>
        <v>7405999.9999999991</v>
      </c>
      <c r="P47" s="38">
        <f t="shared" si="21"/>
        <v>8366399.9999999991</v>
      </c>
      <c r="Q47" s="38">
        <f t="shared" si="21"/>
        <v>9326800</v>
      </c>
      <c r="R47" s="38">
        <f t="shared" si="21"/>
        <v>10287200</v>
      </c>
      <c r="S47" s="38">
        <f t="shared" si="21"/>
        <v>11247600</v>
      </c>
      <c r="T47" s="38">
        <f t="shared" si="21"/>
        <v>12208000</v>
      </c>
      <c r="U47" s="38">
        <f t="shared" si="21"/>
        <v>12208000</v>
      </c>
      <c r="V47" s="38">
        <f t="shared" si="21"/>
        <v>12208000</v>
      </c>
      <c r="W47" s="38">
        <f t="shared" si="21"/>
        <v>12208000</v>
      </c>
      <c r="X47" s="38">
        <f t="shared" si="21"/>
        <v>12208000</v>
      </c>
      <c r="Y47" s="38">
        <f t="shared" si="21"/>
        <v>12208000</v>
      </c>
      <c r="Z47" s="38">
        <f t="shared" si="21"/>
        <v>12208000</v>
      </c>
      <c r="AA47" s="38">
        <f t="shared" si="21"/>
        <v>12208000</v>
      </c>
      <c r="AB47" s="38">
        <f t="shared" si="21"/>
        <v>12208000</v>
      </c>
      <c r="AC47" s="38">
        <f t="shared" si="21"/>
        <v>12208000</v>
      </c>
    </row>
    <row r="48" spans="2:29" x14ac:dyDescent="0.35">
      <c r="B48" s="32">
        <v>10</v>
      </c>
      <c r="C48" s="54">
        <f t="shared" si="16"/>
        <v>0</v>
      </c>
      <c r="D48" s="54">
        <f t="shared" si="17"/>
        <v>22344000</v>
      </c>
      <c r="E48" s="102">
        <f t="shared" si="18"/>
        <v>19600000</v>
      </c>
      <c r="F48" s="101">
        <f t="shared" si="19"/>
        <v>2744000.0000000005</v>
      </c>
      <c r="H48" s="34" t="s">
        <v>13</v>
      </c>
      <c r="I48" s="35"/>
      <c r="J48" s="35">
        <f>J46-J47</f>
        <v>4835999.9999999981</v>
      </c>
      <c r="K48" s="35">
        <f t="shared" ref="K48:AC48" si="22">K46-K47</f>
        <v>6619599.9999999981</v>
      </c>
      <c r="L48" s="35">
        <f t="shared" si="22"/>
        <v>8403199.9999999981</v>
      </c>
      <c r="M48" s="35">
        <f t="shared" si="22"/>
        <v>10186800</v>
      </c>
      <c r="N48" s="35">
        <f t="shared" si="22"/>
        <v>11970400</v>
      </c>
      <c r="O48" s="35">
        <f t="shared" si="22"/>
        <v>13754000</v>
      </c>
      <c r="P48" s="35">
        <f t="shared" si="22"/>
        <v>15537600</v>
      </c>
      <c r="Q48" s="35">
        <f t="shared" si="22"/>
        <v>17321200</v>
      </c>
      <c r="R48" s="35">
        <f t="shared" si="22"/>
        <v>19104800</v>
      </c>
      <c r="S48" s="35">
        <f t="shared" si="22"/>
        <v>20888400</v>
      </c>
      <c r="T48" s="35">
        <f t="shared" si="22"/>
        <v>22672000</v>
      </c>
      <c r="U48" s="35">
        <f t="shared" si="22"/>
        <v>22672000</v>
      </c>
      <c r="V48" s="35">
        <f t="shared" si="22"/>
        <v>22672000</v>
      </c>
      <c r="W48" s="35">
        <f t="shared" si="22"/>
        <v>22672000</v>
      </c>
      <c r="X48" s="35">
        <f t="shared" si="22"/>
        <v>22672000</v>
      </c>
      <c r="Y48" s="35">
        <f t="shared" si="22"/>
        <v>22672000</v>
      </c>
      <c r="Z48" s="35">
        <f t="shared" si="22"/>
        <v>22672000</v>
      </c>
      <c r="AA48" s="35">
        <f t="shared" si="22"/>
        <v>22672000</v>
      </c>
      <c r="AB48" s="35">
        <f t="shared" si="22"/>
        <v>22672000</v>
      </c>
      <c r="AC48" s="35">
        <f t="shared" si="22"/>
        <v>22672000</v>
      </c>
    </row>
    <row r="49" spans="3:29" x14ac:dyDescent="0.35">
      <c r="D49" s="60">
        <f>NPV(D35,D39:D48)</f>
        <v>195999999.99999994</v>
      </c>
      <c r="H49" s="31" t="s">
        <v>14</v>
      </c>
      <c r="I49" s="38"/>
      <c r="J49" s="38">
        <f>J43</f>
        <v>11200000</v>
      </c>
      <c r="K49" s="38">
        <f t="shared" ref="K49:AB49" si="23">K43</f>
        <v>11200000</v>
      </c>
      <c r="L49" s="38">
        <f t="shared" si="23"/>
        <v>11200000</v>
      </c>
      <c r="M49" s="38">
        <f t="shared" si="23"/>
        <v>11200000</v>
      </c>
      <c r="N49" s="38">
        <f t="shared" si="23"/>
        <v>11200000</v>
      </c>
      <c r="O49" s="38">
        <f t="shared" si="23"/>
        <v>11200000</v>
      </c>
      <c r="P49" s="38">
        <f t="shared" si="23"/>
        <v>11200000</v>
      </c>
      <c r="Q49" s="38">
        <f t="shared" si="23"/>
        <v>11200000</v>
      </c>
      <c r="R49" s="38">
        <f t="shared" si="23"/>
        <v>11200000</v>
      </c>
      <c r="S49" s="38">
        <f t="shared" si="23"/>
        <v>11200000</v>
      </c>
      <c r="T49" s="38">
        <f t="shared" si="23"/>
        <v>11200000</v>
      </c>
      <c r="U49" s="38">
        <f t="shared" si="23"/>
        <v>11200000</v>
      </c>
      <c r="V49" s="38">
        <f t="shared" si="23"/>
        <v>11200000</v>
      </c>
      <c r="W49" s="38">
        <f t="shared" si="23"/>
        <v>11200000</v>
      </c>
      <c r="X49" s="38">
        <f t="shared" si="23"/>
        <v>11200000</v>
      </c>
      <c r="Y49" s="38">
        <f t="shared" si="23"/>
        <v>11200000</v>
      </c>
      <c r="Z49" s="38">
        <f t="shared" si="23"/>
        <v>11200000</v>
      </c>
      <c r="AA49" s="38">
        <f t="shared" si="23"/>
        <v>11200000</v>
      </c>
      <c r="AB49" s="38">
        <f t="shared" si="23"/>
        <v>11200000</v>
      </c>
      <c r="AC49" s="38">
        <f>AC43</f>
        <v>11200000</v>
      </c>
    </row>
    <row r="50" spans="3:29" x14ac:dyDescent="0.35">
      <c r="D50" s="60"/>
      <c r="H50" s="97" t="s">
        <v>15</v>
      </c>
      <c r="I50" s="38"/>
      <c r="J50" s="55">
        <f t="array" ref="J50:S50">TRANSPOSE(E39:E48)</f>
        <v>19600000</v>
      </c>
      <c r="K50" s="55">
        <v>19600000</v>
      </c>
      <c r="L50" s="55">
        <v>19600000</v>
      </c>
      <c r="M50" s="55">
        <v>19600000</v>
      </c>
      <c r="N50" s="55">
        <v>19600000</v>
      </c>
      <c r="O50" s="55">
        <v>19600000</v>
      </c>
      <c r="P50" s="55">
        <v>19600000</v>
      </c>
      <c r="Q50" s="55">
        <v>19600000</v>
      </c>
      <c r="R50" s="55">
        <v>19600000</v>
      </c>
      <c r="S50" s="55">
        <v>19600000</v>
      </c>
      <c r="T50" s="55"/>
      <c r="U50" s="55"/>
      <c r="V50" s="55"/>
      <c r="W50" s="55"/>
      <c r="X50" s="55"/>
      <c r="Y50" s="55"/>
      <c r="Z50" s="55"/>
      <c r="AA50" s="55"/>
      <c r="AB50" s="55"/>
      <c r="AC50" s="55"/>
    </row>
    <row r="51" spans="3:29" x14ac:dyDescent="0.35">
      <c r="H51" s="31" t="s">
        <v>16</v>
      </c>
      <c r="I51" s="38">
        <f>I20</f>
        <v>280000000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3:29" x14ac:dyDescent="0.35">
      <c r="C52" s="68"/>
      <c r="D52" s="69"/>
      <c r="E52" s="69"/>
      <c r="F52" s="70"/>
      <c r="H52" s="27" t="s">
        <v>64</v>
      </c>
      <c r="I52" s="38">
        <f>I21</f>
        <v>25000000</v>
      </c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3:29" x14ac:dyDescent="0.35">
      <c r="C53" s="69"/>
      <c r="D53" s="75"/>
      <c r="E53" s="76"/>
      <c r="F53" s="77"/>
      <c r="H53" s="98" t="s">
        <v>66</v>
      </c>
      <c r="I53" s="38">
        <f>C38</f>
        <v>196000000</v>
      </c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3:29" x14ac:dyDescent="0.35">
      <c r="C54" s="69"/>
      <c r="D54" s="71"/>
      <c r="E54" s="78"/>
      <c r="F54" s="77"/>
      <c r="H54" s="31" t="s">
        <v>17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79">
        <f>AC22</f>
        <v>83600000</v>
      </c>
    </row>
    <row r="55" spans="3:29" x14ac:dyDescent="0.35">
      <c r="H55" s="34" t="s">
        <v>18</v>
      </c>
      <c r="I55" s="35">
        <f>I48+I49-I50-I51-I52+I53+I54</f>
        <v>-109000000</v>
      </c>
      <c r="J55" s="35">
        <f t="shared" ref="J55:AC55" si="24">J48+J49-J50-J51-J52+J53+J54</f>
        <v>-3564000.0000000019</v>
      </c>
      <c r="K55" s="35">
        <f t="shared" si="24"/>
        <v>-1780400</v>
      </c>
      <c r="L55" s="35">
        <f t="shared" si="24"/>
        <v>3200</v>
      </c>
      <c r="M55" s="35">
        <f t="shared" si="24"/>
        <v>1786800</v>
      </c>
      <c r="N55" s="35">
        <f t="shared" si="24"/>
        <v>3570400</v>
      </c>
      <c r="O55" s="35">
        <f t="shared" si="24"/>
        <v>5354000</v>
      </c>
      <c r="P55" s="35">
        <f t="shared" si="24"/>
        <v>7137600</v>
      </c>
      <c r="Q55" s="35">
        <f t="shared" si="24"/>
        <v>8921200</v>
      </c>
      <c r="R55" s="35">
        <f t="shared" si="24"/>
        <v>10704800</v>
      </c>
      <c r="S55" s="35">
        <f t="shared" si="24"/>
        <v>12488400</v>
      </c>
      <c r="T55" s="35">
        <f t="shared" si="24"/>
        <v>33872000</v>
      </c>
      <c r="U55" s="35">
        <f t="shared" si="24"/>
        <v>33872000</v>
      </c>
      <c r="V55" s="35">
        <f t="shared" si="24"/>
        <v>33872000</v>
      </c>
      <c r="W55" s="35">
        <f t="shared" si="24"/>
        <v>33872000</v>
      </c>
      <c r="X55" s="35">
        <f t="shared" si="24"/>
        <v>33872000</v>
      </c>
      <c r="Y55" s="35">
        <f t="shared" si="24"/>
        <v>33872000</v>
      </c>
      <c r="Z55" s="35">
        <f t="shared" si="24"/>
        <v>33872000</v>
      </c>
      <c r="AA55" s="35">
        <f t="shared" si="24"/>
        <v>33872000</v>
      </c>
      <c r="AB55" s="35">
        <f t="shared" si="24"/>
        <v>33872000</v>
      </c>
      <c r="AC55" s="35">
        <f t="shared" si="24"/>
        <v>117472000</v>
      </c>
    </row>
    <row r="56" spans="3:29" x14ac:dyDescent="0.35">
      <c r="H56" s="57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 spans="3:29" x14ac:dyDescent="0.35">
      <c r="H57" s="31" t="s">
        <v>4</v>
      </c>
      <c r="I57" s="66">
        <f>IRR(I55:AC55)</f>
        <v>0.1018039268274924</v>
      </c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 spans="3:29" x14ac:dyDescent="0.35">
      <c r="H58" s="31" t="s">
        <v>19</v>
      </c>
      <c r="I58" s="67">
        <f>NPV(E15,J55:AC55)+I55</f>
        <v>-49473967.928651333</v>
      </c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 spans="3:29" x14ac:dyDescent="0.35">
      <c r="H59" s="57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  <row r="60" spans="3:29" x14ac:dyDescent="0.35"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</row>
    <row r="61" spans="3:29" x14ac:dyDescent="0.35"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</row>
    <row r="62" spans="3:29" x14ac:dyDescent="0.35"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</row>
    <row r="63" spans="3:29" x14ac:dyDescent="0.35"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</row>
    <row r="64" spans="3:29" x14ac:dyDescent="0.35"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</row>
    <row r="65" spans="8:29" x14ac:dyDescent="0.35"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</row>
    <row r="66" spans="8:29" x14ac:dyDescent="0.35"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</row>
    <row r="67" spans="8:29" x14ac:dyDescent="0.35"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</row>
    <row r="68" spans="8:29" x14ac:dyDescent="0.35"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</row>
  </sheetData>
  <mergeCells count="11">
    <mergeCell ref="H2:AC2"/>
    <mergeCell ref="H33:AC33"/>
    <mergeCell ref="E18:F18"/>
    <mergeCell ref="H28:N28"/>
    <mergeCell ref="I29:J29"/>
    <mergeCell ref="K29:L29"/>
    <mergeCell ref="M29:N29"/>
    <mergeCell ref="I30:J30"/>
    <mergeCell ref="K30:L30"/>
    <mergeCell ref="M30:N30"/>
    <mergeCell ref="D25:F2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Rafael Miranda</cp:lastModifiedBy>
  <dcterms:created xsi:type="dcterms:W3CDTF">2015-11-03T13:50:44Z</dcterms:created>
  <dcterms:modified xsi:type="dcterms:W3CDTF">2021-07-16T19:36:15Z</dcterms:modified>
</cp:coreProperties>
</file>