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EPR502\Aulas 2020\Aula 05 e 06 EPR502\Arquivos aula virtual\"/>
    </mc:Choice>
  </mc:AlternateContent>
  <bookViews>
    <workbookView xWindow="0" yWindow="0" windowWidth="25125" windowHeight="12435" activeTab="7"/>
  </bookViews>
  <sheets>
    <sheet name="VPL Túnel" sheetId="7" r:id="rId1"/>
    <sheet name="EXIII.6" sheetId="2" r:id="rId2"/>
    <sheet name="PB" sheetId="11" r:id="rId3"/>
    <sheet name="VPL" sheetId="1" r:id="rId4"/>
    <sheet name="VA" sheetId="3" r:id="rId5"/>
    <sheet name="TIR" sheetId="4" r:id="rId6"/>
    <sheet name="TIR INCREMENTAL" sheetId="5" r:id="rId7"/>
    <sheet name="Gráfico" sheetId="6" r:id="rId8"/>
    <sheet name="Ex1" sheetId="9" r:id="rId9"/>
  </sheets>
  <calcPr calcId="152511" concurrentCalc="0" concurrentManualCount="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7" l="1"/>
  <c r="M12" i="7"/>
  <c r="M13" i="7"/>
  <c r="L14" i="2"/>
  <c r="I16" i="1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G3" i="6"/>
  <c r="F3" i="6"/>
  <c r="R14" i="5"/>
  <c r="R5" i="5"/>
  <c r="R6" i="5"/>
  <c r="R7" i="5"/>
  <c r="R8" i="5"/>
  <c r="R9" i="5"/>
  <c r="R10" i="5"/>
  <c r="R11" i="5"/>
  <c r="R12" i="5"/>
  <c r="R13" i="5"/>
  <c r="R4" i="5"/>
  <c r="R3" i="5"/>
  <c r="M15" i="4"/>
  <c r="I15" i="4"/>
  <c r="L13" i="2"/>
  <c r="N16" i="3"/>
  <c r="M17" i="1"/>
  <c r="I17" i="1"/>
  <c r="Q17" i="3"/>
  <c r="Q16" i="3"/>
  <c r="Q14" i="3"/>
  <c r="J16" i="3"/>
  <c r="F17" i="3"/>
  <c r="F15" i="3"/>
  <c r="I16" i="1"/>
  <c r="I15" i="1"/>
  <c r="M16" i="1"/>
  <c r="M15" i="1"/>
  <c r="M12" i="1"/>
  <c r="O16" i="11"/>
  <c r="Q5" i="11"/>
  <c r="Q6" i="11"/>
  <c r="Q7" i="11"/>
  <c r="Q8" i="11"/>
  <c r="Q9" i="11"/>
  <c r="Q10" i="11"/>
  <c r="Q11" i="11"/>
  <c r="Q12" i="11"/>
  <c r="Q4" i="11"/>
  <c r="Q3" i="11"/>
  <c r="P4" i="11"/>
  <c r="P5" i="11"/>
  <c r="P6" i="11"/>
  <c r="P7" i="11"/>
  <c r="P8" i="11"/>
  <c r="P9" i="11"/>
  <c r="P10" i="11"/>
  <c r="P11" i="11"/>
  <c r="P12" i="11"/>
  <c r="P3" i="11"/>
  <c r="O12" i="11"/>
  <c r="O15" i="11"/>
  <c r="K6" i="11"/>
  <c r="K7" i="11"/>
  <c r="K8" i="11"/>
  <c r="K9" i="11"/>
  <c r="K10" i="11"/>
  <c r="K11" i="11"/>
  <c r="K12" i="11"/>
  <c r="K5" i="11"/>
  <c r="K4" i="11"/>
  <c r="K3" i="11"/>
  <c r="J5" i="11"/>
  <c r="J6" i="11"/>
  <c r="J7" i="11"/>
  <c r="J8" i="11"/>
  <c r="J9" i="11"/>
  <c r="J10" i="11"/>
  <c r="J11" i="11"/>
  <c r="J12" i="11"/>
  <c r="J4" i="11"/>
  <c r="J3" i="11"/>
  <c r="I15" i="11"/>
  <c r="L12" i="2"/>
  <c r="L11" i="2"/>
  <c r="L7" i="2"/>
  <c r="L8" i="2"/>
  <c r="L6" i="2"/>
  <c r="L5" i="2"/>
  <c r="L4" i="2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16" i="7"/>
  <c r="M7" i="7"/>
  <c r="M9" i="7"/>
  <c r="M3" i="7"/>
  <c r="N12" i="3"/>
  <c r="P13" i="5"/>
  <c r="P14" i="5"/>
  <c r="Q14" i="5"/>
  <c r="B13" i="6"/>
  <c r="M12" i="4"/>
</calcChain>
</file>

<file path=xl/sharedStrings.xml><?xml version="1.0" encoding="utf-8"?>
<sst xmlns="http://schemas.openxmlformats.org/spreadsheetml/2006/main" count="174" uniqueCount="80">
  <si>
    <t>Reforma</t>
  </si>
  <si>
    <t>Aquisição</t>
  </si>
  <si>
    <t>Data</t>
  </si>
  <si>
    <t>FC</t>
  </si>
  <si>
    <t>TMA</t>
  </si>
  <si>
    <t>aa</t>
  </si>
  <si>
    <t>VPL</t>
  </si>
  <si>
    <t>VN</t>
  </si>
  <si>
    <t>VA</t>
  </si>
  <si>
    <t>TIR</t>
  </si>
  <si>
    <t>Fluxo de Caixa Incremental</t>
  </si>
  <si>
    <t>A</t>
  </si>
  <si>
    <t>R</t>
  </si>
  <si>
    <t>VPL A</t>
  </si>
  <si>
    <t>VPL R</t>
  </si>
  <si>
    <t>n</t>
  </si>
  <si>
    <t>A-R</t>
  </si>
  <si>
    <t>i (TMA)</t>
  </si>
  <si>
    <t>Potência</t>
  </si>
  <si>
    <t>MW</t>
  </si>
  <si>
    <t>Investimento</t>
  </si>
  <si>
    <t>$/MW</t>
  </si>
  <si>
    <t>Produção de Energia</t>
  </si>
  <si>
    <t>MWh/ano</t>
  </si>
  <si>
    <t>Preço da Eenergia</t>
  </si>
  <si>
    <t>$/MWh</t>
  </si>
  <si>
    <t>Custo da operação</t>
  </si>
  <si>
    <t>Outros custos</t>
  </si>
  <si>
    <t>$</t>
  </si>
  <si>
    <t>Consumo de gás</t>
  </si>
  <si>
    <t>m3/ano</t>
  </si>
  <si>
    <t>$/m3</t>
  </si>
  <si>
    <t>Operação</t>
  </si>
  <si>
    <t>anos</t>
  </si>
  <si>
    <t>Custo do gás</t>
  </si>
  <si>
    <t>Preço de venda</t>
  </si>
  <si>
    <t>Dados:</t>
  </si>
  <si>
    <t>Pede-se:</t>
  </si>
  <si>
    <t>a) VN e VPL</t>
  </si>
  <si>
    <t>b) VA</t>
  </si>
  <si>
    <t>c) TIR</t>
  </si>
  <si>
    <t>d) O négócio é viável?</t>
  </si>
  <si>
    <t>PGTO</t>
  </si>
  <si>
    <t>Termelétrica</t>
  </si>
  <si>
    <t>Fluxo de Caixa</t>
  </si>
  <si>
    <t>Incremental</t>
  </si>
  <si>
    <t>1a. Forma de Resolver</t>
  </si>
  <si>
    <t>2a. Forma de Resolver</t>
  </si>
  <si>
    <t>PBS</t>
  </si>
  <si>
    <t>PBD</t>
  </si>
  <si>
    <t>FC Descontado</t>
  </si>
  <si>
    <t>VP</t>
  </si>
  <si>
    <t>VP Acumulado</t>
  </si>
  <si>
    <t>$/ano</t>
  </si>
  <si>
    <t>VN (Valor do Negócio)</t>
  </si>
  <si>
    <t>INVIÁVEL</t>
  </si>
  <si>
    <t>Viável</t>
  </si>
  <si>
    <t>VP (Data 0)</t>
  </si>
  <si>
    <t>É Melhor!</t>
  </si>
  <si>
    <t>Projeto Viável</t>
  </si>
  <si>
    <t>VPL &gt; 0</t>
  </si>
  <si>
    <t>VPL &gt;0</t>
  </si>
  <si>
    <t>Projeto a ser escolhido</t>
  </si>
  <si>
    <t>Projeto a ser abandonado</t>
  </si>
  <si>
    <t>VP - PGTO</t>
  </si>
  <si>
    <t>VA &gt; 0</t>
  </si>
  <si>
    <t>VF-PGTO</t>
  </si>
  <si>
    <t>VA&gt;0</t>
  </si>
  <si>
    <t>TIR inc &gt; TMA</t>
  </si>
  <si>
    <t>Faço projeto de maior Investimento</t>
  </si>
  <si>
    <t>SE</t>
  </si>
  <si>
    <t>TIR inc &lt; TMA</t>
  </si>
  <si>
    <t>Faço projeto de menor Investimento</t>
  </si>
  <si>
    <t>TIR inc = TMA</t>
  </si>
  <si>
    <t>Projetos igualmente Viáveis</t>
  </si>
  <si>
    <t>A ou R</t>
  </si>
  <si>
    <t>SE TMA &lt; 10,68% Aquisição é melhor!</t>
  </si>
  <si>
    <t>Se TMA = 10,68% Aquisição = Reforma</t>
  </si>
  <si>
    <t>SE 10,68% &lt; TMA &lt;=15,10% Reforma é melhor!</t>
  </si>
  <si>
    <t>SE TMA &gt; 15,10% Nenhum projeto é viável!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</si>
</sst>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[Red]\-&quot;R$&quot;#,##0.00"/>
    <numFmt numFmtId="165" formatCode="_-&quot;R$&quot;* #,##0.00_-;\-&quot;R$&quot;* #,##0.00_-;_-&quot;R$&quot;* &quot;-&quot;??_-;_-@_-"/>
    <numFmt numFmtId="166" formatCode="_-* #,##0_-;\-* #,##0_-;_-* &quot;-&quot;??_-;_-@_-"/>
    <numFmt numFmtId="167" formatCode="0.00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8" fontId="0" fillId="2" borderId="0" xfId="0" applyNumberFormat="1" applyFill="1"/>
    <xf numFmtId="0" fontId="2" fillId="2" borderId="0" xfId="0" applyFont="1" applyFill="1"/>
    <xf numFmtId="8" fontId="2" fillId="2" borderId="0" xfId="0" applyNumberFormat="1" applyFont="1" applyFill="1"/>
    <xf numFmtId="44" fontId="2" fillId="2" borderId="0" xfId="1" applyFont="1" applyFill="1"/>
    <xf numFmtId="0" fontId="3" fillId="2" borderId="0" xfId="0" applyFont="1" applyFill="1" applyAlignment="1"/>
    <xf numFmtId="0" fontId="4" fillId="2" borderId="0" xfId="0" applyFont="1" applyFill="1"/>
    <xf numFmtId="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44" fontId="0" fillId="2" borderId="0" xfId="0" applyNumberFormat="1" applyFill="1"/>
    <xf numFmtId="0" fontId="5" fillId="3" borderId="0" xfId="0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/>
    <xf numFmtId="0" fontId="2" fillId="2" borderId="1" xfId="0" applyFont="1" applyFill="1" applyBorder="1"/>
    <xf numFmtId="8" fontId="2" fillId="2" borderId="1" xfId="0" applyNumberFormat="1" applyFont="1" applyFill="1" applyBorder="1"/>
    <xf numFmtId="44" fontId="6" fillId="2" borderId="1" xfId="1" applyFont="1" applyFill="1" applyBorder="1"/>
    <xf numFmtId="8" fontId="2" fillId="2" borderId="1" xfId="0" applyNumberFormat="1" applyFont="1" applyFill="1" applyBorder="1" applyAlignment="1">
      <alignment horizontal="center"/>
    </xf>
    <xf numFmtId="44" fontId="6" fillId="2" borderId="1" xfId="1" applyFont="1" applyFill="1" applyBorder="1" applyAlignment="1">
      <alignment horizont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44" fontId="3" fillId="2" borderId="2" xfId="1" applyFont="1" applyFill="1" applyBorder="1"/>
    <xf numFmtId="43" fontId="3" fillId="2" borderId="2" xfId="2" applyFont="1" applyFill="1" applyBorder="1"/>
    <xf numFmtId="166" fontId="3" fillId="2" borderId="2" xfId="2" applyNumberFormat="1" applyFont="1" applyFill="1" applyBorder="1"/>
    <xf numFmtId="44" fontId="3" fillId="2" borderId="0" xfId="0" applyNumberFormat="1" applyFont="1" applyFill="1"/>
    <xf numFmtId="8" fontId="3" fillId="2" borderId="0" xfId="0" applyNumberFormat="1" applyFont="1" applyFill="1"/>
    <xf numFmtId="9" fontId="3" fillId="2" borderId="2" xfId="0" applyNumberFormat="1" applyFont="1" applyFill="1" applyBorder="1"/>
    <xf numFmtId="0" fontId="3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4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/>
    <xf numFmtId="164" fontId="3" fillId="2" borderId="0" xfId="0" applyNumberFormat="1" applyFont="1" applyFill="1"/>
    <xf numFmtId="167" fontId="3" fillId="2" borderId="0" xfId="3" applyNumberFormat="1" applyFont="1" applyFill="1"/>
    <xf numFmtId="44" fontId="5" fillId="3" borderId="1" xfId="1" applyFont="1" applyFill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  <xf numFmtId="8" fontId="5" fillId="3" borderId="1" xfId="0" applyNumberFormat="1" applyFont="1" applyFill="1" applyBorder="1" applyAlignment="1">
      <alignment horizontal="center"/>
    </xf>
    <xf numFmtId="8" fontId="9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4" fontId="9" fillId="2" borderId="1" xfId="1" applyFont="1" applyFill="1" applyBorder="1"/>
    <xf numFmtId="44" fontId="5" fillId="2" borderId="1" xfId="1" applyFont="1" applyFill="1" applyBorder="1"/>
    <xf numFmtId="0" fontId="5" fillId="2" borderId="0" xfId="0" applyFont="1" applyFill="1"/>
    <xf numFmtId="0" fontId="5" fillId="2" borderId="1" xfId="0" applyFont="1" applyFill="1" applyBorder="1"/>
    <xf numFmtId="9" fontId="5" fillId="2" borderId="1" xfId="0" applyNumberFormat="1" applyFont="1" applyFill="1" applyBorder="1" applyAlignment="1">
      <alignment horizontal="center"/>
    </xf>
    <xf numFmtId="8" fontId="5" fillId="2" borderId="1" xfId="0" applyNumberFormat="1" applyFont="1" applyFill="1" applyBorder="1"/>
    <xf numFmtId="0" fontId="3" fillId="2" borderId="0" xfId="0" applyFont="1" applyFill="1" applyAlignment="1">
      <alignment horizontal="center"/>
    </xf>
    <xf numFmtId="44" fontId="5" fillId="3" borderId="1" xfId="0" applyNumberFormat="1" applyFont="1" applyFill="1" applyBorder="1" applyAlignment="1">
      <alignment horizontal="center"/>
    </xf>
    <xf numFmtId="8" fontId="10" fillId="3" borderId="1" xfId="0" applyNumberFormat="1" applyFont="1" applyFill="1" applyBorder="1" applyAlignment="1">
      <alignment horizontal="center"/>
    </xf>
    <xf numFmtId="10" fontId="3" fillId="2" borderId="0" xfId="0" applyNumberFormat="1" applyFont="1" applyFill="1"/>
    <xf numFmtId="0" fontId="5" fillId="0" borderId="1" xfId="0" applyFont="1" applyFill="1" applyBorder="1" applyAlignment="1">
      <alignment horizontal="center"/>
    </xf>
    <xf numFmtId="164" fontId="2" fillId="2" borderId="0" xfId="0" applyNumberFormat="1" applyFont="1" applyFill="1"/>
    <xf numFmtId="0" fontId="7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44" fontId="6" fillId="2" borderId="0" xfId="1" applyFont="1" applyFill="1" applyBorder="1"/>
    <xf numFmtId="44" fontId="2" fillId="2" borderId="0" xfId="1" applyFont="1" applyFill="1" applyBorder="1"/>
    <xf numFmtId="9" fontId="2" fillId="2" borderId="0" xfId="0" applyNumberFormat="1" applyFont="1" applyFill="1" applyBorder="1" applyAlignment="1">
      <alignment horizontal="center"/>
    </xf>
    <xf numFmtId="8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/>
    <xf numFmtId="44" fontId="6" fillId="2" borderId="0" xfId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8" fontId="2" fillId="2" borderId="0" xfId="0" applyNumberFormat="1" applyFont="1" applyFill="1" applyBorder="1"/>
    <xf numFmtId="0" fontId="2" fillId="2" borderId="1" xfId="0" applyFont="1" applyFill="1" applyBorder="1" applyAlignment="1">
      <alignment horizontal="center"/>
    </xf>
    <xf numFmtId="44" fontId="11" fillId="2" borderId="0" xfId="1" applyFont="1" applyFill="1"/>
    <xf numFmtId="0" fontId="12" fillId="2" borderId="0" xfId="0" applyFont="1" applyFill="1"/>
    <xf numFmtId="0" fontId="7" fillId="2" borderId="1" xfId="0" applyFont="1" applyFill="1" applyBorder="1" applyAlignment="1">
      <alignment horizontal="center"/>
    </xf>
    <xf numFmtId="44" fontId="13" fillId="2" borderId="1" xfId="1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center"/>
    </xf>
    <xf numFmtId="44" fontId="7" fillId="2" borderId="1" xfId="1" applyFont="1" applyFill="1" applyBorder="1" applyAlignment="1">
      <alignment horizontal="center"/>
    </xf>
    <xf numFmtId="44" fontId="14" fillId="2" borderId="1" xfId="0" applyNumberFormat="1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43" fontId="2" fillId="2" borderId="1" xfId="2" applyFont="1" applyFill="1" applyBorder="1"/>
    <xf numFmtId="0" fontId="5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43" fontId="2" fillId="5" borderId="1" xfId="2" applyFont="1" applyFill="1" applyBorder="1" applyAlignment="1">
      <alignment horizontal="center"/>
    </xf>
    <xf numFmtId="0" fontId="2" fillId="5" borderId="0" xfId="0" applyFont="1" applyFill="1"/>
    <xf numFmtId="8" fontId="2" fillId="5" borderId="1" xfId="0" applyNumberFormat="1" applyFont="1" applyFill="1" applyBorder="1"/>
    <xf numFmtId="8" fontId="2" fillId="5" borderId="1" xfId="0" applyNumberFormat="1" applyFont="1" applyFill="1" applyBorder="1" applyAlignment="1">
      <alignment horizontal="center"/>
    </xf>
    <xf numFmtId="8" fontId="5" fillId="5" borderId="1" xfId="0" applyNumberFormat="1" applyFont="1" applyFill="1" applyBorder="1"/>
    <xf numFmtId="0" fontId="5" fillId="2" borderId="2" xfId="0" applyFont="1" applyFill="1" applyBorder="1"/>
    <xf numFmtId="0" fontId="5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2" borderId="0" xfId="0" applyNumberFormat="1" applyFill="1"/>
    <xf numFmtId="10" fontId="2" fillId="5" borderId="1" xfId="0" applyNumberFormat="1" applyFont="1" applyFill="1" applyBorder="1" applyAlignment="1">
      <alignment horizontal="center"/>
    </xf>
    <xf numFmtId="10" fontId="14" fillId="5" borderId="1" xfId="3" applyNumberFormat="1" applyFont="1" applyFill="1" applyBorder="1" applyAlignment="1">
      <alignment horizontal="center"/>
    </xf>
    <xf numFmtId="44" fontId="16" fillId="2" borderId="0" xfId="0" applyNumberFormat="1" applyFont="1" applyFill="1"/>
    <xf numFmtId="8" fontId="0" fillId="5" borderId="0" xfId="0" applyNumberFormat="1" applyFill="1"/>
    <xf numFmtId="44" fontId="0" fillId="5" borderId="0" xfId="0" applyNumberFormat="1" applyFill="1"/>
    <xf numFmtId="0" fontId="5" fillId="3" borderId="0" xfId="0" applyFont="1" applyFill="1" applyAlignment="1">
      <alignment horizontal="center"/>
    </xf>
    <xf numFmtId="8" fontId="2" fillId="5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44" fontId="7" fillId="2" borderId="2" xfId="1" applyFont="1" applyFill="1" applyBorder="1" applyAlignment="1">
      <alignment horizontal="center"/>
    </xf>
    <xf numFmtId="44" fontId="7" fillId="2" borderId="4" xfId="1" applyFont="1" applyFill="1" applyBorder="1" applyAlignment="1">
      <alignment horizontal="center"/>
    </xf>
    <xf numFmtId="44" fontId="7" fillId="4" borderId="1" xfId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44" fontId="7" fillId="2" borderId="1" xfId="1" applyFont="1" applyFill="1" applyBorder="1" applyAlignment="1">
      <alignment horizontal="center"/>
    </xf>
    <xf numFmtId="44" fontId="7" fillId="5" borderId="1" xfId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10" fontId="7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8" fontId="2" fillId="2" borderId="0" xfId="0" applyNumberFormat="1" applyFont="1" applyFill="1" applyBorder="1" applyAlignment="1">
      <alignment horizontal="left"/>
    </xf>
    <xf numFmtId="10" fontId="5" fillId="5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2" fillId="2" borderId="9" xfId="0" applyFont="1" applyFill="1" applyBorder="1"/>
    <xf numFmtId="44" fontId="2" fillId="2" borderId="9" xfId="1" applyFont="1" applyFill="1" applyBorder="1"/>
    <xf numFmtId="0" fontId="2" fillId="2" borderId="8" xfId="0" applyFont="1" applyFill="1" applyBorder="1"/>
    <xf numFmtId="165" fontId="2" fillId="2" borderId="8" xfId="0" applyNumberFormat="1" applyFont="1" applyFill="1" applyBorder="1"/>
    <xf numFmtId="44" fontId="2" fillId="2" borderId="8" xfId="1" applyFont="1" applyFill="1" applyBorder="1"/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colors>
    <mruColors>
      <color rgb="FFFF3300"/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Gráfico!$F$2</c:f>
              <c:strCache>
                <c:ptCount val="1"/>
                <c:pt idx="0">
                  <c:v>VPL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Gráfico!$E$3:$E$203</c:f>
              <c:numCache>
                <c:formatCode>0.00%</c:formatCode>
                <c:ptCount val="2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</c:numCache>
            </c:numRef>
          </c:xVal>
          <c:yVal>
            <c:numRef>
              <c:f>Gráfico!$F$3:$F$203</c:f>
              <c:numCache>
                <c:formatCode>"R$"#,##0.00_);[Red]\("R$"#,##0.00\)</c:formatCode>
                <c:ptCount val="201"/>
                <c:pt idx="0">
                  <c:v>27705</c:v>
                </c:pt>
                <c:pt idx="1">
                  <c:v>27341.067076418665</c:v>
                </c:pt>
                <c:pt idx="2">
                  <c:v>26980.345646783884</c:v>
                </c:pt>
                <c:pt idx="3">
                  <c:v>26622.80202509521</c:v>
                </c:pt>
                <c:pt idx="4">
                  <c:v>26268.402924251612</c:v>
                </c:pt>
                <c:pt idx="5">
                  <c:v>25917.115450846817</c:v>
                </c:pt>
                <c:pt idx="6">
                  <c:v>25568.907100037119</c:v>
                </c:pt>
                <c:pt idx="7">
                  <c:v>25223.745750483373</c:v>
                </c:pt>
                <c:pt idx="8">
                  <c:v>24881.599659362975</c:v>
                </c:pt>
                <c:pt idx="9">
                  <c:v>24542.437457453823</c:v>
                </c:pt>
                <c:pt idx="10">
                  <c:v>24206.228144286237</c:v>
                </c:pt>
                <c:pt idx="11">
                  <c:v>23872.941083364734</c:v>
                </c:pt>
                <c:pt idx="12">
                  <c:v>23542.545997455592</c:v>
                </c:pt>
                <c:pt idx="13">
                  <c:v>23215.012963942114</c:v>
                </c:pt>
                <c:pt idx="14">
                  <c:v>22890.312410243954</c:v>
                </c:pt>
                <c:pt idx="15">
                  <c:v>22568.415109301866</c:v>
                </c:pt>
                <c:pt idx="16">
                  <c:v>22249.292175124567</c:v>
                </c:pt>
                <c:pt idx="17">
                  <c:v>21932.915058399441</c:v>
                </c:pt>
                <c:pt idx="18">
                  <c:v>21619.255542163024</c:v>
                </c:pt>
                <c:pt idx="19">
                  <c:v>21308.285737533603</c:v>
                </c:pt>
                <c:pt idx="20">
                  <c:v>20999.978079502034</c:v>
                </c:pt>
                <c:pt idx="21">
                  <c:v>20694.305322782369</c:v>
                </c:pt>
                <c:pt idx="22">
                  <c:v>20391.240537719321</c:v>
                </c:pt>
                <c:pt idx="23">
                  <c:v>20090.757106253681</c:v>
                </c:pt>
                <c:pt idx="24">
                  <c:v>19792.828717942779</c:v>
                </c:pt>
                <c:pt idx="25">
                  <c:v>19497.429366037315</c:v>
                </c:pt>
                <c:pt idx="26">
                  <c:v>19204.533343611474</c:v>
                </c:pt>
                <c:pt idx="27">
                  <c:v>18914.115239747713</c:v>
                </c:pt>
                <c:pt idx="28">
                  <c:v>18626.149935773443</c:v>
                </c:pt>
                <c:pt idx="29">
                  <c:v>18340.61260155066</c:v>
                </c:pt>
                <c:pt idx="30">
                  <c:v>18057.478691815842</c:v>
                </c:pt>
                <c:pt idx="31">
                  <c:v>17776.72394257132</c:v>
                </c:pt>
                <c:pt idx="32">
                  <c:v>17498.324367525507</c:v>
                </c:pt>
                <c:pt idx="33">
                  <c:v>17222.256254582921</c:v>
                </c:pt>
                <c:pt idx="34">
                  <c:v>16948.496162381693</c:v>
                </c:pt>
                <c:pt idx="35">
                  <c:v>16677.020916879519</c:v>
                </c:pt>
                <c:pt idx="36">
                  <c:v>16407.807607985509</c:v>
                </c:pt>
                <c:pt idx="37">
                  <c:v>16140.833586239161</c:v>
                </c:pt>
                <c:pt idx="38">
                  <c:v>15876.076459533921</c:v>
                </c:pt>
                <c:pt idx="39">
                  <c:v>15613.514089886361</c:v>
                </c:pt>
                <c:pt idx="40">
                  <c:v>15353.124590248808</c:v>
                </c:pt>
                <c:pt idx="41">
                  <c:v>15094.886321366066</c:v>
                </c:pt>
                <c:pt idx="42">
                  <c:v>14838.777888674485</c:v>
                </c:pt>
                <c:pt idx="43">
                  <c:v>14584.778139243797</c:v>
                </c:pt>
                <c:pt idx="44">
                  <c:v>14332.866158759876</c:v>
                </c:pt>
                <c:pt idx="45">
                  <c:v>14083.021268549404</c:v>
                </c:pt>
                <c:pt idx="46">
                  <c:v>13835.223022643899</c:v>
                </c:pt>
                <c:pt idx="47">
                  <c:v>13589.451204884594</c:v>
                </c:pt>
                <c:pt idx="48">
                  <c:v>13345.685826065594</c:v>
                </c:pt>
                <c:pt idx="49">
                  <c:v>13103.907121116492</c:v>
                </c:pt>
                <c:pt idx="50">
                  <c:v>12864.095546322445</c:v>
                </c:pt>
                <c:pt idx="51">
                  <c:v>12626.231776582295</c:v>
                </c:pt>
                <c:pt idx="52">
                  <c:v>12390.296702703214</c:v>
                </c:pt>
                <c:pt idx="53">
                  <c:v>12156.271428732311</c:v>
                </c:pt>
                <c:pt idx="54">
                  <c:v>11924.137269323517</c:v>
                </c:pt>
                <c:pt idx="55">
                  <c:v>11693.875747140686</c:v>
                </c:pt>
                <c:pt idx="56">
                  <c:v>11465.468590294688</c:v>
                </c:pt>
                <c:pt idx="57">
                  <c:v>11238.897729815777</c:v>
                </c:pt>
                <c:pt idx="58">
                  <c:v>11014.145297158968</c:v>
                </c:pt>
                <c:pt idx="59">
                  <c:v>10791.19362174366</c:v>
                </c:pt>
                <c:pt idx="60">
                  <c:v>10570.025228525403</c:v>
                </c:pt>
                <c:pt idx="61">
                  <c:v>10350.622835600792</c:v>
                </c:pt>
                <c:pt idx="62">
                  <c:v>10132.969351843691</c:v>
                </c:pt>
                <c:pt idx="63">
                  <c:v>9917.0478745735818</c:v>
                </c:pt>
                <c:pt idx="64">
                  <c:v>9702.8416872543603</c:v>
                </c:pt>
                <c:pt idx="65">
                  <c:v>9490.3342572244364</c:v>
                </c:pt>
                <c:pt idx="66">
                  <c:v>9279.5092334562141</c:v>
                </c:pt>
                <c:pt idx="67">
                  <c:v>9070.3504443461206</c:v>
                </c:pt>
                <c:pt idx="68">
                  <c:v>8862.8418955332309</c:v>
                </c:pt>
                <c:pt idx="69">
                  <c:v>8656.9677677474101</c:v>
                </c:pt>
                <c:pt idx="70">
                  <c:v>8452.7124146853675</c:v>
                </c:pt>
                <c:pt idx="71">
                  <c:v>8250.0603609153695</c:v>
                </c:pt>
                <c:pt idx="72">
                  <c:v>8048.9962998089832</c:v>
                </c:pt>
                <c:pt idx="73">
                  <c:v>7849.5050915008178</c:v>
                </c:pt>
                <c:pt idx="74">
                  <c:v>7651.5717608744235</c:v>
                </c:pt>
                <c:pt idx="75">
                  <c:v>7455.1814955754162</c:v>
                </c:pt>
                <c:pt idx="76">
                  <c:v>7260.3196440500978</c:v>
                </c:pt>
                <c:pt idx="77">
                  <c:v>7066.9717136103282</c:v>
                </c:pt>
                <c:pt idx="78">
                  <c:v>6875.123368523462</c:v>
                </c:pt>
                <c:pt idx="79">
                  <c:v>6684.7604281276363</c:v>
                </c:pt>
                <c:pt idx="80">
                  <c:v>6495.8688649713222</c:v>
                </c:pt>
                <c:pt idx="81">
                  <c:v>6308.4348029777539</c:v>
                </c:pt>
                <c:pt idx="82">
                  <c:v>6122.4445156327929</c:v>
                </c:pt>
                <c:pt idx="83">
                  <c:v>5937.8844241969346</c:v>
                </c:pt>
                <c:pt idx="84">
                  <c:v>5754.7410959401968</c:v>
                </c:pt>
                <c:pt idx="85">
                  <c:v>5573.0012424004744</c:v>
                </c:pt>
                <c:pt idx="86">
                  <c:v>5392.6517176640409</c:v>
                </c:pt>
                <c:pt idx="87">
                  <c:v>5213.6795166689117</c:v>
                </c:pt>
                <c:pt idx="88">
                  <c:v>5036.071773529824</c:v>
                </c:pt>
                <c:pt idx="89">
                  <c:v>4859.8157598852922</c:v>
                </c:pt>
                <c:pt idx="90">
                  <c:v>4684.8988832656833</c:v>
                </c:pt>
                <c:pt idx="91">
                  <c:v>4511.3086854829962</c:v>
                </c:pt>
                <c:pt idx="92">
                  <c:v>4339.0328410407456</c:v>
                </c:pt>
                <c:pt idx="93">
                  <c:v>4168.0591555651699</c:v>
                </c:pt>
                <c:pt idx="94">
                  <c:v>3998.3755642559336</c:v>
                </c:pt>
                <c:pt idx="95">
                  <c:v>3829.9701303574548</c:v>
                </c:pt>
                <c:pt idx="96">
                  <c:v>3662.831043649363</c:v>
                </c:pt>
                <c:pt idx="97">
                  <c:v>3496.9466189569503</c:v>
                </c:pt>
                <c:pt idx="98">
                  <c:v>3332.3052946801326</c:v>
                </c:pt>
                <c:pt idx="99">
                  <c:v>3168.8956313419694</c:v>
                </c:pt>
                <c:pt idx="100">
                  <c:v>3006.7063101551321</c:v>
                </c:pt>
                <c:pt idx="101">
                  <c:v>2845.7261316073855</c:v>
                </c:pt>
                <c:pt idx="102">
                  <c:v>2685.9440140645675</c:v>
                </c:pt>
                <c:pt idx="103">
                  <c:v>2527.3489923920024</c:v>
                </c:pt>
                <c:pt idx="104">
                  <c:v>2369.9302165930094</c:v>
                </c:pt>
                <c:pt idx="105">
                  <c:v>2213.6769504652002</c:v>
                </c:pt>
                <c:pt idx="106">
                  <c:v>2058.5785702735702</c:v>
                </c:pt>
                <c:pt idx="107">
                  <c:v>1904.6245634408406</c:v>
                </c:pt>
                <c:pt idx="108">
                  <c:v>1751.8045272540221</c:v>
                </c:pt>
                <c:pt idx="109">
                  <c:v>1600.1081675879323</c:v>
                </c:pt>
                <c:pt idx="110">
                  <c:v>1449.5252976443335</c:v>
                </c:pt>
                <c:pt idx="111">
                  <c:v>1300.0458367076826</c:v>
                </c:pt>
                <c:pt idx="112">
                  <c:v>1151.659808916058</c:v>
                </c:pt>
                <c:pt idx="113">
                  <c:v>1004.3573420481553</c:v>
                </c:pt>
                <c:pt idx="114">
                  <c:v>858.12866632514488</c:v>
                </c:pt>
                <c:pt idx="115">
                  <c:v>712.96411322809217</c:v>
                </c:pt>
                <c:pt idx="116">
                  <c:v>568.85411432996261</c:v>
                </c:pt>
                <c:pt idx="117">
                  <c:v>425.7892001426153</c:v>
                </c:pt>
                <c:pt idx="118">
                  <c:v>283.75999897802467</c:v>
                </c:pt>
                <c:pt idx="119">
                  <c:v>142.75723582406863</c:v>
                </c:pt>
                <c:pt idx="120">
                  <c:v>2.7717312344575475</c:v>
                </c:pt>
                <c:pt idx="121">
                  <c:v>-136.20559976765799</c:v>
                </c:pt>
                <c:pt idx="122">
                  <c:v>-274.18374877210954</c:v>
                </c:pt>
                <c:pt idx="123">
                  <c:v>-411.17161505069089</c:v>
                </c:pt>
                <c:pt idx="124">
                  <c:v>-547.17800661260117</c:v>
                </c:pt>
                <c:pt idx="125">
                  <c:v>-682.21164124681673</c:v>
                </c:pt>
                <c:pt idx="126">
                  <c:v>-816.28114755158094</c:v>
                </c:pt>
                <c:pt idx="127">
                  <c:v>-949.39506595077546</c:v>
                </c:pt>
                <c:pt idx="128">
                  <c:v>-1081.5618496977113</c:v>
                </c:pt>
                <c:pt idx="129">
                  <c:v>-1212.7898658665399</c:v>
                </c:pt>
                <c:pt idx="130">
                  <c:v>-1343.0873963312661</c:v>
                </c:pt>
                <c:pt idx="131">
                  <c:v>-1472.4626387325625</c:v>
                </c:pt>
                <c:pt idx="132">
                  <c:v>-1600.9237074325538</c:v>
                </c:pt>
                <c:pt idx="133">
                  <c:v>-1728.4786344578388</c:v>
                </c:pt>
                <c:pt idx="134">
                  <c:v>-1855.1353704309076</c:v>
                </c:pt>
                <c:pt idx="135">
                  <c:v>-1980.9017854898302</c:v>
                </c:pt>
                <c:pt idx="136">
                  <c:v>-2105.785670196663</c:v>
                </c:pt>
                <c:pt idx="137">
                  <c:v>-2229.7947364347056</c:v>
                </c:pt>
                <c:pt idx="138">
                  <c:v>-2352.9366182946433</c:v>
                </c:pt>
                <c:pt idx="139">
                  <c:v>-2475.2188729497866</c:v>
                </c:pt>
                <c:pt idx="140">
                  <c:v>-2596.6489815203749</c:v>
                </c:pt>
                <c:pt idx="141">
                  <c:v>-2717.2343499275121</c:v>
                </c:pt>
                <c:pt idx="142">
                  <c:v>-2836.9823097364679</c:v>
                </c:pt>
                <c:pt idx="143">
                  <c:v>-2955.9001189896408</c:v>
                </c:pt>
                <c:pt idx="144">
                  <c:v>-3073.9949630292067</c:v>
                </c:pt>
                <c:pt idx="145">
                  <c:v>-3191.2739553100073</c:v>
                </c:pt>
                <c:pt idx="146">
                  <c:v>-3307.7441382020079</c:v>
                </c:pt>
                <c:pt idx="147">
                  <c:v>-3423.4124837834788</c:v>
                </c:pt>
                <c:pt idx="148">
                  <c:v>-3538.2858946240012</c:v>
                </c:pt>
                <c:pt idx="149">
                  <c:v>-3652.3712045583525</c:v>
                </c:pt>
                <c:pt idx="150">
                  <c:v>-3765.6751794505435</c:v>
                </c:pt>
                <c:pt idx="151">
                  <c:v>-3878.2045179489505</c:v>
                </c:pt>
                <c:pt idx="152">
                  <c:v>-3989.9658522319041</c:v>
                </c:pt>
                <c:pt idx="153">
                  <c:v>-4100.965748744562</c:v>
                </c:pt>
                <c:pt idx="154">
                  <c:v>-4211.2107089264937</c:v>
                </c:pt>
                <c:pt idx="155">
                  <c:v>-4320.7071699307635</c:v>
                </c:pt>
                <c:pt idx="156">
                  <c:v>-4429.4615053339803</c:v>
                </c:pt>
                <c:pt idx="157">
                  <c:v>-4537.4800258381329</c:v>
                </c:pt>
                <c:pt idx="158">
                  <c:v>-4644.7689799635227</c:v>
                </c:pt>
                <c:pt idx="159">
                  <c:v>-4751.3345547337049</c:v>
                </c:pt>
                <c:pt idx="160">
                  <c:v>-4857.1828763518315</c:v>
                </c:pt>
                <c:pt idx="161">
                  <c:v>-4962.3200108692035</c:v>
                </c:pt>
                <c:pt idx="162">
                  <c:v>-5066.7519648453599</c:v>
                </c:pt>
                <c:pt idx="163">
                  <c:v>-5170.4846860006401</c:v>
                </c:pt>
                <c:pt idx="164">
                  <c:v>-5273.5240638605392</c:v>
                </c:pt>
                <c:pt idx="165">
                  <c:v>-5375.8759303926308</c:v>
                </c:pt>
                <c:pt idx="166">
                  <c:v>-5477.5460606355664</c:v>
                </c:pt>
                <c:pt idx="167">
                  <c:v>-5578.5401733208855</c:v>
                </c:pt>
                <c:pt idx="168">
                  <c:v>-5678.8639314869361</c:v>
                </c:pt>
                <c:pt idx="169">
                  <c:v>-5778.522943085929</c:v>
                </c:pt>
                <c:pt idx="170">
                  <c:v>-5877.5227615833392</c:v>
                </c:pt>
                <c:pt idx="171">
                  <c:v>-5975.868886550481</c:v>
                </c:pt>
                <c:pt idx="172">
                  <c:v>-6073.5667642496919</c:v>
                </c:pt>
                <c:pt idx="173">
                  <c:v>-6170.6217882129022</c:v>
                </c:pt>
                <c:pt idx="174">
                  <c:v>-6267.0392998129464</c:v>
                </c:pt>
                <c:pt idx="175">
                  <c:v>-6362.8245888284873</c:v>
                </c:pt>
                <c:pt idx="176">
                  <c:v>-6457.9828940017942</c:v>
                </c:pt>
                <c:pt idx="177">
                  <c:v>-6552.5194035903551</c:v>
                </c:pt>
                <c:pt idx="178">
                  <c:v>-6646.4392559115149</c:v>
                </c:pt>
                <c:pt idx="179">
                  <c:v>-6739.7475398810602</c:v>
                </c:pt>
                <c:pt idx="180">
                  <c:v>-6832.4492955451096</c:v>
                </c:pt>
                <c:pt idx="181">
                  <c:v>-6924.5495146059584</c:v>
                </c:pt>
                <c:pt idx="182">
                  <c:v>-7016.0531409415344</c:v>
                </c:pt>
                <c:pt idx="183">
                  <c:v>-7106.9650711189315</c:v>
                </c:pt>
                <c:pt idx="184">
                  <c:v>-7197.2901549016278</c:v>
                </c:pt>
                <c:pt idx="185">
                  <c:v>-7287.0331957510134</c:v>
                </c:pt>
                <c:pt idx="186">
                  <c:v>-7376.1989513217741</c:v>
                </c:pt>
                <c:pt idx="187">
                  <c:v>-7464.7921339516979</c:v>
                </c:pt>
                <c:pt idx="188">
                  <c:v>-7552.8174111454646</c:v>
                </c:pt>
                <c:pt idx="189">
                  <c:v>-7640.2794060530687</c:v>
                </c:pt>
                <c:pt idx="190">
                  <c:v>-7727.1826979423022</c:v>
                </c:pt>
                <c:pt idx="191">
                  <c:v>-7813.5318226660638</c:v>
                </c:pt>
                <c:pt idx="192">
                  <c:v>-7899.3312731238584</c:v>
                </c:pt>
                <c:pt idx="193">
                  <c:v>-7984.5854997182541</c:v>
                </c:pt>
                <c:pt idx="194">
                  <c:v>-8069.2989108056572</c:v>
                </c:pt>
                <c:pt idx="195">
                  <c:v>-8153.4758731421862</c:v>
                </c:pt>
                <c:pt idx="196">
                  <c:v>-8237.1207123240492</c:v>
                </c:pt>
                <c:pt idx="197">
                  <c:v>-8320.2377132230358</c:v>
                </c:pt>
                <c:pt idx="198">
                  <c:v>-8402.8311204167694</c:v>
                </c:pt>
                <c:pt idx="199">
                  <c:v>-8484.9051386141437</c:v>
                </c:pt>
                <c:pt idx="200">
                  <c:v>-8566.4639330755745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Gráfico!$G$2</c:f>
              <c:strCache>
                <c:ptCount val="1"/>
                <c:pt idx="0">
                  <c:v>VPL 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Gráfico!$E$3:$E$203</c:f>
              <c:numCache>
                <c:formatCode>0.00%</c:formatCode>
                <c:ptCount val="2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</c:numCache>
            </c:numRef>
          </c:xVal>
          <c:yVal>
            <c:numRef>
              <c:f>Gráfico!$G$3:$G$203</c:f>
              <c:numCache>
                <c:formatCode>_("R$"* #,##0.00_);_("R$"* \(#,##0.00\);_("R$"* "-"??_);_(@_)</c:formatCode>
                <c:ptCount val="201"/>
                <c:pt idx="0">
                  <c:v>10000</c:v>
                </c:pt>
                <c:pt idx="1">
                  <c:v>9890.4385739940226</c:v>
                </c:pt>
                <c:pt idx="2">
                  <c:v>9781.7486237451376</c:v>
                </c:pt>
                <c:pt idx="3">
                  <c:v>9673.921711908155</c:v>
                </c:pt>
                <c:pt idx="4">
                  <c:v>9566.9494948666834</c:v>
                </c:pt>
                <c:pt idx="5">
                  <c:v>9460.8237215725057</c:v>
                </c:pt>
                <c:pt idx="6">
                  <c:v>9355.5362324002781</c:v>
                </c:pt>
                <c:pt idx="7">
                  <c:v>9251.0789580182645</c:v>
                </c:pt>
                <c:pt idx="8">
                  <c:v>9147.4439182738133</c:v>
                </c:pt>
                <c:pt idx="9">
                  <c:v>9044.6232210944618</c:v>
                </c:pt>
                <c:pt idx="10">
                  <c:v>8942.6090614033419</c:v>
                </c:pt>
                <c:pt idx="11">
                  <c:v>8841.3937200497676</c:v>
                </c:pt>
                <c:pt idx="12">
                  <c:v>8740.9695627537258</c:v>
                </c:pt>
                <c:pt idx="13">
                  <c:v>8641.32903906504</c:v>
                </c:pt>
                <c:pt idx="14">
                  <c:v>8542.4646813361178</c:v>
                </c:pt>
                <c:pt idx="15">
                  <c:v>8444.3691037088829</c:v>
                </c:pt>
                <c:pt idx="16">
                  <c:v>8347.035001114913</c:v>
                </c:pt>
                <c:pt idx="17">
                  <c:v>8250.455148289424</c:v>
                </c:pt>
                <c:pt idx="18">
                  <c:v>8154.6223987979647</c:v>
                </c:pt>
                <c:pt idx="19">
                  <c:v>8059.5296840765841</c:v>
                </c:pt>
                <c:pt idx="20">
                  <c:v>7965.170012484472</c:v>
                </c:pt>
                <c:pt idx="21">
                  <c:v>7871.5364683694752</c:v>
                </c:pt>
                <c:pt idx="22">
                  <c:v>7778.6222111458701</c:v>
                </c:pt>
                <c:pt idx="23">
                  <c:v>7686.4204743846676</c:v>
                </c:pt>
                <c:pt idx="24">
                  <c:v>7594.9245649156801</c:v>
                </c:pt>
                <c:pt idx="25">
                  <c:v>7504.1278619418772</c:v>
                </c:pt>
                <c:pt idx="26">
                  <c:v>7414.0238161651432</c:v>
                </c:pt>
                <c:pt idx="27">
                  <c:v>7324.6059489239669</c:v>
                </c:pt>
                <c:pt idx="28">
                  <c:v>7235.8678513421655</c:v>
                </c:pt>
                <c:pt idx="29">
                  <c:v>7147.8031834892827</c:v>
                </c:pt>
                <c:pt idx="30">
                  <c:v>7060.4056735516569</c:v>
                </c:pt>
                <c:pt idx="31">
                  <c:v>6973.6691170148042</c:v>
                </c:pt>
                <c:pt idx="32">
                  <c:v>6887.5873758562411</c:v>
                </c:pt>
                <c:pt idx="33">
                  <c:v>6802.1543777492334</c:v>
                </c:pt>
                <c:pt idx="34">
                  <c:v>6717.3641152767377</c:v>
                </c:pt>
                <c:pt idx="35">
                  <c:v>6633.2106451559157</c:v>
                </c:pt>
                <c:pt idx="36">
                  <c:v>6549.6880874725939</c:v>
                </c:pt>
                <c:pt idx="37">
                  <c:v>6466.7906249259831</c:v>
                </c:pt>
                <c:pt idx="38">
                  <c:v>6384.5125020830164</c:v>
                </c:pt>
                <c:pt idx="39">
                  <c:v>6302.8480246427553</c:v>
                </c:pt>
                <c:pt idx="40">
                  <c:v>6221.7915587100542</c:v>
                </c:pt>
                <c:pt idx="41">
                  <c:v>6141.3375300790358</c:v>
                </c:pt>
                <c:pt idx="42">
                  <c:v>6061.4804235256033</c:v>
                </c:pt>
                <c:pt idx="43">
                  <c:v>5982.2147821094204</c:v>
                </c:pt>
                <c:pt idx="44">
                  <c:v>5903.5352064847229</c:v>
                </c:pt>
                <c:pt idx="45">
                  <c:v>5825.4363542203373</c:v>
                </c:pt>
                <c:pt idx="46">
                  <c:v>5747.9129391282368</c:v>
                </c:pt>
                <c:pt idx="47">
                  <c:v>5670.9597306011001</c:v>
                </c:pt>
                <c:pt idx="48">
                  <c:v>5594.5715529581266</c:v>
                </c:pt>
                <c:pt idx="49">
                  <c:v>5518.7432847996133</c:v>
                </c:pt>
                <c:pt idx="50">
                  <c:v>5443.4698583696227</c:v>
                </c:pt>
                <c:pt idx="51">
                  <c:v>5368.7462589270417</c:v>
                </c:pt>
                <c:pt idx="52">
                  <c:v>5294.5675241246063</c:v>
                </c:pt>
                <c:pt idx="53">
                  <c:v>5220.9287433960671</c:v>
                </c:pt>
                <c:pt idx="54">
                  <c:v>5147.8250573510559</c:v>
                </c:pt>
                <c:pt idx="55">
                  <c:v>5075.2516571779324</c:v>
                </c:pt>
                <c:pt idx="56">
                  <c:v>5003.2037840540688</c:v>
                </c:pt>
                <c:pt idx="57">
                  <c:v>4931.6767285638944</c:v>
                </c:pt>
                <c:pt idx="58">
                  <c:v>4860.6658301242078</c:v>
                </c:pt>
                <c:pt idx="59">
                  <c:v>4790.1664764170037</c:v>
                </c:pt>
                <c:pt idx="60">
                  <c:v>4720.1741028293909</c:v>
                </c:pt>
                <c:pt idx="61">
                  <c:v>4650.684191900802</c:v>
                </c:pt>
                <c:pt idx="62">
                  <c:v>4581.692272777078</c:v>
                </c:pt>
                <c:pt idx="63">
                  <c:v>4513.1939206716943</c:v>
                </c:pt>
                <c:pt idx="64">
                  <c:v>4445.1847563336196</c:v>
                </c:pt>
                <c:pt idx="65">
                  <c:v>4377.6604455222077</c:v>
                </c:pt>
                <c:pt idx="66">
                  <c:v>4310.6166984883894</c:v>
                </c:pt>
                <c:pt idx="67">
                  <c:v>4244.0492694628574</c:v>
                </c:pt>
                <c:pt idx="68">
                  <c:v>4177.9539561503243</c:v>
                </c:pt>
                <c:pt idx="69">
                  <c:v>4112.3265992305187</c:v>
                </c:pt>
                <c:pt idx="70">
                  <c:v>4047.1630818651975</c:v>
                </c:pt>
                <c:pt idx="71">
                  <c:v>3982.4593292116369</c:v>
                </c:pt>
                <c:pt idx="72">
                  <c:v>3918.2113079419869</c:v>
                </c:pt>
                <c:pt idx="73">
                  <c:v>3854.4150257689744</c:v>
                </c:pt>
                <c:pt idx="74">
                  <c:v>3791.0665309772576</c:v>
                </c:pt>
                <c:pt idx="75">
                  <c:v>3728.1619119609568</c:v>
                </c:pt>
                <c:pt idx="76">
                  <c:v>3665.6972967667371</c:v>
                </c:pt>
                <c:pt idx="77">
                  <c:v>3603.6688526428425</c:v>
                </c:pt>
                <c:pt idx="78">
                  <c:v>3542.0727855935547</c:v>
                </c:pt>
                <c:pt idx="79">
                  <c:v>3480.9053399394361</c:v>
                </c:pt>
                <c:pt idx="80">
                  <c:v>3420.1627978828819</c:v>
                </c:pt>
                <c:pt idx="81">
                  <c:v>3359.8414790792649</c:v>
                </c:pt>
                <c:pt idx="82">
                  <c:v>3299.937740213225</c:v>
                </c:pt>
                <c:pt idx="83">
                  <c:v>3240.4479745804765</c:v>
                </c:pt>
                <c:pt idx="84">
                  <c:v>3181.3686116745484</c:v>
                </c:pt>
                <c:pt idx="85">
                  <c:v>3122.6961167789377</c:v>
                </c:pt>
                <c:pt idx="86">
                  <c:v>3064.4269905640522</c:v>
                </c:pt>
                <c:pt idx="87">
                  <c:v>3006.5577686893994</c:v>
                </c:pt>
                <c:pt idx="88">
                  <c:v>2949.0850214104612</c:v>
                </c:pt>
                <c:pt idx="89">
                  <c:v>2892.0053531906851</c:v>
                </c:pt>
                <c:pt idx="90">
                  <c:v>2835.3154023180141</c:v>
                </c:pt>
                <c:pt idx="91">
                  <c:v>2779.0118405263711</c:v>
                </c:pt>
                <c:pt idx="92">
                  <c:v>2723.0913726216259</c:v>
                </c:pt>
                <c:pt idx="93">
                  <c:v>2667.5507361123491</c:v>
                </c:pt>
                <c:pt idx="94">
                  <c:v>2612.3867008449142</c:v>
                </c:pt>
                <c:pt idx="95">
                  <c:v>2557.5960686432754</c:v>
                </c:pt>
                <c:pt idx="96">
                  <c:v>2503.1756729529934</c:v>
                </c:pt>
                <c:pt idx="97">
                  <c:v>2449.1223784897902</c:v>
                </c:pt>
                <c:pt idx="98">
                  <c:v>2395.4330808922386</c:v>
                </c:pt>
                <c:pt idx="99">
                  <c:v>2342.104706378881</c:v>
                </c:pt>
                <c:pt idx="100">
                  <c:v>2289.1342114093586</c:v>
                </c:pt>
                <c:pt idx="101">
                  <c:v>2236.5185823498632</c:v>
                </c:pt>
                <c:pt idx="102">
                  <c:v>2184.2548351424593</c:v>
                </c:pt>
                <c:pt idx="103">
                  <c:v>2132.3400149786612</c:v>
                </c:pt>
                <c:pt idx="104">
                  <c:v>2080.7711959767876</c:v>
                </c:pt>
                <c:pt idx="105">
                  <c:v>2029.5454808633731</c:v>
                </c:pt>
                <c:pt idx="106">
                  <c:v>1978.6600006583358</c:v>
                </c:pt>
                <c:pt idx="107">
                  <c:v>1928.1119143641135</c:v>
                </c:pt>
                <c:pt idx="108">
                  <c:v>1877.8984086583714</c:v>
                </c:pt>
                <c:pt idx="109">
                  <c:v>1828.0166975906395</c:v>
                </c:pt>
                <c:pt idx="110">
                  <c:v>1778.464022282411</c:v>
                </c:pt>
                <c:pt idx="111">
                  <c:v>1729.2376506310575</c:v>
                </c:pt>
                <c:pt idx="112">
                  <c:v>1680.3348770171524</c:v>
                </c:pt>
                <c:pt idx="113">
                  <c:v>1631.7530220154567</c:v>
                </c:pt>
                <c:pt idx="114">
                  <c:v>1583.4894321092452</c:v>
                </c:pt>
                <c:pt idx="115">
                  <c:v>1535.541479408228</c:v>
                </c:pt>
                <c:pt idx="116">
                  <c:v>1487.9065613697039</c:v>
                </c:pt>
                <c:pt idx="117">
                  <c:v>1440.5821005231955</c:v>
                </c:pt>
                <c:pt idx="118">
                  <c:v>1393.5655441982617</c:v>
                </c:pt>
                <c:pt idx="119">
                  <c:v>1346.8543642556615</c:v>
                </c:pt>
                <c:pt idx="120">
                  <c:v>1300.4460568217237</c:v>
                </c:pt>
                <c:pt idx="121">
                  <c:v>1254.3381420258465</c:v>
                </c:pt>
                <c:pt idx="122">
                  <c:v>1208.5281637411317</c:v>
                </c:pt>
                <c:pt idx="123">
                  <c:v>1163.013689328156</c:v>
                </c:pt>
                <c:pt idx="124">
                  <c:v>1117.7923093817826</c:v>
                </c:pt>
                <c:pt idx="125">
                  <c:v>1072.8616374809808</c:v>
                </c:pt>
                <c:pt idx="126">
                  <c:v>1028.2193099415526</c:v>
                </c:pt>
                <c:pt idx="127">
                  <c:v>983.86298557190457</c:v>
                </c:pt>
                <c:pt idx="128">
                  <c:v>939.79034543167836</c:v>
                </c:pt>
                <c:pt idx="129">
                  <c:v>895.99909259319975</c:v>
                </c:pt>
                <c:pt idx="130">
                  <c:v>852.486951905772</c:v>
                </c:pt>
                <c:pt idx="131">
                  <c:v>809.25166976277615</c:v>
                </c:pt>
                <c:pt idx="132">
                  <c:v>766.29101387153605</c:v>
                </c:pt>
                <c:pt idx="133">
                  <c:v>723.60277302584109</c:v>
                </c:pt>
                <c:pt idx="134">
                  <c:v>681.18475688117542</c:v>
                </c:pt>
                <c:pt idx="135">
                  <c:v>639.03479573259756</c:v>
                </c:pt>
                <c:pt idx="136">
                  <c:v>597.15074029527023</c:v>
                </c:pt>
                <c:pt idx="137">
                  <c:v>555.53046148750036</c:v>
                </c:pt>
                <c:pt idx="138">
                  <c:v>514.17185021634214</c:v>
                </c:pt>
                <c:pt idx="139">
                  <c:v>473.07281716573925</c:v>
                </c:pt>
                <c:pt idx="140">
                  <c:v>432.23129258715562</c:v>
                </c:pt>
                <c:pt idx="141">
                  <c:v>391.64522609262167</c:v>
                </c:pt>
                <c:pt idx="142">
                  <c:v>351.31258645017988</c:v>
                </c:pt>
                <c:pt idx="143">
                  <c:v>311.23136138178234</c:v>
                </c:pt>
                <c:pt idx="144">
                  <c:v>271.39955736353113</c:v>
                </c:pt>
                <c:pt idx="145">
                  <c:v>231.8151994281634</c:v>
                </c:pt>
                <c:pt idx="146">
                  <c:v>192.47633096997561</c:v>
                </c:pt>
                <c:pt idx="147">
                  <c:v>153.38101355185427</c:v>
                </c:pt>
                <c:pt idx="148">
                  <c:v>114.52732671471858</c:v>
                </c:pt>
                <c:pt idx="149">
                  <c:v>75.913367789000404</c:v>
                </c:pt>
                <c:pt idx="150">
                  <c:v>37.537251708461554</c:v>
                </c:pt>
                <c:pt idx="151">
                  <c:v>-0.60288917395337194</c:v>
                </c:pt>
                <c:pt idx="152">
                  <c:v>-38.508905268028684</c:v>
                </c:pt>
                <c:pt idx="153">
                  <c:v>-76.182629926219306</c:v>
                </c:pt>
                <c:pt idx="154">
                  <c:v>-113.62587962135694</c:v>
                </c:pt>
                <c:pt idx="155">
                  <c:v>-150.84045412245905</c:v>
                </c:pt>
                <c:pt idx="156">
                  <c:v>-187.8281366683932</c:v>
                </c:pt>
                <c:pt idx="157">
                  <c:v>-224.59069413965517</c:v>
                </c:pt>
                <c:pt idx="158">
                  <c:v>-261.12987722804064</c:v>
                </c:pt>
                <c:pt idx="159">
                  <c:v>-297.44742060452154</c:v>
                </c:pt>
                <c:pt idx="160">
                  <c:v>-333.5450430850542</c:v>
                </c:pt>
                <c:pt idx="161">
                  <c:v>-369.42444779460129</c:v>
                </c:pt>
                <c:pt idx="162">
                  <c:v>-405.08732232920011</c:v>
                </c:pt>
                <c:pt idx="163">
                  <c:v>-440.53533891623556</c:v>
                </c:pt>
                <c:pt idx="164">
                  <c:v>-475.77015457280868</c:v>
                </c:pt>
                <c:pt idx="165">
                  <c:v>-510.79341126240979</c:v>
                </c:pt>
                <c:pt idx="166">
                  <c:v>-545.60673604968724</c:v>
                </c:pt>
                <c:pt idx="167">
                  <c:v>-580.21174125354992</c:v>
                </c:pt>
                <c:pt idx="168">
                  <c:v>-614.61002459844713</c:v>
                </c:pt>
                <c:pt idx="169">
                  <c:v>-648.8031693640296</c:v>
                </c:pt>
                <c:pt idx="170">
                  <c:v>-682.79274453298785</c:v>
                </c:pt>
                <c:pt idx="171">
                  <c:v>-716.5803049373535</c:v>
                </c:pt>
                <c:pt idx="172">
                  <c:v>-750.16739140299433</c:v>
                </c:pt>
                <c:pt idx="173">
                  <c:v>-783.55553089263049</c:v>
                </c:pt>
                <c:pt idx="174">
                  <c:v>-816.74623664709361</c:v>
                </c:pt>
                <c:pt idx="175">
                  <c:v>-849.74100832511067</c:v>
                </c:pt>
                <c:pt idx="176">
                  <c:v>-882.54133214139438</c:v>
                </c:pt>
                <c:pt idx="177">
                  <c:v>-915.14868100331478</c:v>
                </c:pt>
                <c:pt idx="178">
                  <c:v>-947.56451464587553</c:v>
                </c:pt>
                <c:pt idx="179">
                  <c:v>-979.79027976533325</c:v>
                </c:pt>
                <c:pt idx="180">
                  <c:v>-1011.8274101511743</c:v>
                </c:pt>
                <c:pt idx="181">
                  <c:v>-1043.6773268167308</c:v>
                </c:pt>
                <c:pt idx="182">
                  <c:v>-1075.3414381282309</c:v>
                </c:pt>
                <c:pt idx="183">
                  <c:v>-1106.8211399324919</c:v>
                </c:pt>
                <c:pt idx="184">
                  <c:v>-1138.1178156830993</c:v>
                </c:pt>
                <c:pt idx="185">
                  <c:v>-1169.2328365652756</c:v>
                </c:pt>
                <c:pt idx="186">
                  <c:v>-1200.1675616192533</c:v>
                </c:pt>
                <c:pt idx="187">
                  <c:v>-1230.9233378623558</c:v>
                </c:pt>
                <c:pt idx="188">
                  <c:v>-1261.5015004096585</c:v>
                </c:pt>
                <c:pt idx="189">
                  <c:v>-1291.9033725933568</c:v>
                </c:pt>
                <c:pt idx="190">
                  <c:v>-1322.1302660807596</c:v>
                </c:pt>
                <c:pt idx="191">
                  <c:v>-1352.1834809910251</c:v>
                </c:pt>
                <c:pt idx="192">
                  <c:v>-1382.0643060105449</c:v>
                </c:pt>
                <c:pt idx="193">
                  <c:v>-1411.7740185071034</c:v>
                </c:pt>
                <c:pt idx="194">
                  <c:v>-1441.3138846427173</c:v>
                </c:pt>
                <c:pt idx="195">
                  <c:v>-1470.6851594853142</c:v>
                </c:pt>
                <c:pt idx="196">
                  <c:v>-1499.8890871190561</c:v>
                </c:pt>
                <c:pt idx="197">
                  <c:v>-1528.9269007535659</c:v>
                </c:pt>
                <c:pt idx="198">
                  <c:v>-1557.7998228318556</c:v>
                </c:pt>
                <c:pt idx="199">
                  <c:v>-1586.5090651371556</c:v>
                </c:pt>
                <c:pt idx="200">
                  <c:v>-1615.0558288984575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0581008"/>
        <c:axId val="-90582096"/>
      </c:scatterChart>
      <c:valAx>
        <c:axId val="-9058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90582096"/>
        <c:crosses val="autoZero"/>
        <c:crossBetween val="midCat"/>
      </c:valAx>
      <c:valAx>
        <c:axId val="-905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9058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84816</xdr:rowOff>
    </xdr:from>
    <xdr:to>
      <xdr:col>11</xdr:col>
      <xdr:colOff>430247</xdr:colOff>
      <xdr:row>12</xdr:row>
      <xdr:rowOff>298449</xdr:rowOff>
    </xdr:to>
    <xdr:grpSp>
      <xdr:nvGrpSpPr>
        <xdr:cNvPr id="2" name="Grupo 1"/>
        <xdr:cNvGrpSpPr/>
      </xdr:nvGrpSpPr>
      <xdr:grpSpPr>
        <a:xfrm>
          <a:off x="0" y="380091"/>
          <a:ext cx="7135847" cy="3461658"/>
          <a:chOff x="1116013" y="1798700"/>
          <a:chExt cx="6622212" cy="2586282"/>
        </a:xfrm>
      </xdr:grpSpPr>
      <xdr:sp macro="" textlink="">
        <xdr:nvSpPr>
          <xdr:cNvPr id="4" name="Text Box 5"/>
          <xdr:cNvSpPr txBox="1">
            <a:spLocks noChangeArrowheads="1"/>
          </xdr:cNvSpPr>
        </xdr:nvSpPr>
        <xdr:spPr bwMode="auto">
          <a:xfrm>
            <a:off x="1133475" y="2787650"/>
            <a:ext cx="503238" cy="37414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0</a:t>
            </a:r>
          </a:p>
        </xdr:txBody>
      </xdr:sp>
      <xdr:sp macro="" textlink="">
        <xdr:nvSpPr>
          <xdr:cNvPr id="5" name="Text Box 6"/>
          <xdr:cNvSpPr txBox="1">
            <a:spLocks noChangeArrowheads="1"/>
          </xdr:cNvSpPr>
        </xdr:nvSpPr>
        <xdr:spPr bwMode="auto">
          <a:xfrm>
            <a:off x="1709738" y="2790825"/>
            <a:ext cx="503237" cy="37414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1</a:t>
            </a:r>
          </a:p>
        </xdr:txBody>
      </xdr:sp>
      <xdr:sp macro="" textlink="">
        <xdr:nvSpPr>
          <xdr:cNvPr id="6" name="Text Box 7"/>
          <xdr:cNvSpPr txBox="1">
            <a:spLocks noChangeArrowheads="1"/>
          </xdr:cNvSpPr>
        </xdr:nvSpPr>
        <xdr:spPr bwMode="auto">
          <a:xfrm>
            <a:off x="2284413" y="2790825"/>
            <a:ext cx="503237" cy="37414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2</a:t>
            </a:r>
          </a:p>
        </xdr:txBody>
      </xdr:sp>
      <xdr:sp macro="" textlink="">
        <xdr:nvSpPr>
          <xdr:cNvPr id="7" name="Text Box 8"/>
          <xdr:cNvSpPr txBox="1">
            <a:spLocks noChangeArrowheads="1"/>
          </xdr:cNvSpPr>
        </xdr:nvSpPr>
        <xdr:spPr bwMode="auto">
          <a:xfrm>
            <a:off x="2860675" y="2790825"/>
            <a:ext cx="503238" cy="37414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3</a:t>
            </a:r>
          </a:p>
        </xdr:txBody>
      </xdr:sp>
      <xdr:grpSp>
        <xdr:nvGrpSpPr>
          <xdr:cNvPr id="8" name="Group 9"/>
          <xdr:cNvGrpSpPr>
            <a:grpSpLocks/>
          </xdr:cNvGrpSpPr>
        </xdr:nvGrpSpPr>
        <xdr:grpSpPr bwMode="auto">
          <a:xfrm>
            <a:off x="4094129" y="2852732"/>
            <a:ext cx="490534" cy="576261"/>
            <a:chOff x="3478" y="2387"/>
            <a:chExt cx="309" cy="363"/>
          </a:xfrm>
        </xdr:grpSpPr>
        <xdr:sp macro="" textlink="">
          <xdr:nvSpPr>
            <xdr:cNvPr id="22" name="Line 10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 sz="1800">
                <a:latin typeface="Calibri" pitchFamily="34" charset="0"/>
                <a:cs typeface="Calibri" pitchFamily="34" charset="0"/>
              </a:endParaRPr>
            </a:p>
          </xdr:txBody>
        </xdr:sp>
        <xdr:sp macro="" textlink="">
          <xdr:nvSpPr>
            <xdr:cNvPr id="23" name="Line 11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 sz="1800">
                <a:latin typeface="Calibri" pitchFamily="34" charset="0"/>
                <a:cs typeface="Calibri" pitchFamily="34" charset="0"/>
              </a:endParaRPr>
            </a:p>
          </xdr:txBody>
        </xdr:sp>
        <xdr:sp macro="" textlink="">
          <xdr:nvSpPr>
            <xdr:cNvPr id="24" name="Line 12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 sz="1800">
                <a:latin typeface="Calibri" pitchFamily="34" charset="0"/>
                <a:cs typeface="Calibri" pitchFamily="34" charset="0"/>
              </a:endParaRPr>
            </a:p>
          </xdr:txBody>
        </xdr:sp>
      </xdr:grpSp>
      <xdr:sp macro="" textlink="">
        <xdr:nvSpPr>
          <xdr:cNvPr id="9" name="Line 13"/>
          <xdr:cNvSpPr>
            <a:spLocks noChangeShapeType="1"/>
          </xdr:cNvSpPr>
        </xdr:nvSpPr>
        <xdr:spPr bwMode="auto">
          <a:xfrm>
            <a:off x="1403350" y="3140075"/>
            <a:ext cx="2690813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10" name="Line 14"/>
          <xdr:cNvSpPr>
            <a:spLocks noChangeShapeType="1"/>
          </xdr:cNvSpPr>
        </xdr:nvSpPr>
        <xdr:spPr bwMode="auto">
          <a:xfrm>
            <a:off x="4586288" y="3140075"/>
            <a:ext cx="849312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11" name="Text Box 15"/>
          <xdr:cNvSpPr txBox="1">
            <a:spLocks noChangeArrowheads="1"/>
          </xdr:cNvSpPr>
        </xdr:nvSpPr>
        <xdr:spPr bwMode="auto">
          <a:xfrm>
            <a:off x="4860925" y="2636838"/>
            <a:ext cx="2016125" cy="37414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 i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n </a:t>
            </a:r>
            <a:r>
              <a:rPr lang="pt-BR" sz="1800" b="1" i="1">
                <a:solidFill>
                  <a:srgbClr val="FF0000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= 50 anos</a:t>
            </a:r>
          </a:p>
        </xdr:txBody>
      </xdr:sp>
      <xdr:sp macro="" textlink="">
        <xdr:nvSpPr>
          <xdr:cNvPr id="13" name="Text Box 17"/>
          <xdr:cNvSpPr txBox="1">
            <a:spLocks noChangeArrowheads="1"/>
          </xdr:cNvSpPr>
        </xdr:nvSpPr>
        <xdr:spPr bwMode="auto">
          <a:xfrm>
            <a:off x="1116013" y="4124809"/>
            <a:ext cx="2926940" cy="26017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P = R$ 155 milhões</a:t>
            </a:r>
          </a:p>
        </xdr:txBody>
      </xdr:sp>
      <xdr:sp macro="" textlink="">
        <xdr:nvSpPr>
          <xdr:cNvPr id="14" name="Text Box 18"/>
          <xdr:cNvSpPr txBox="1">
            <a:spLocks noChangeArrowheads="1"/>
          </xdr:cNvSpPr>
        </xdr:nvSpPr>
        <xdr:spPr bwMode="auto">
          <a:xfrm>
            <a:off x="1256462" y="1798700"/>
            <a:ext cx="6481763" cy="27673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l">
              <a:spcBef>
                <a:spcPct val="50000"/>
              </a:spcBef>
              <a:defRPr/>
            </a:pPr>
            <a:r>
              <a:rPr lang="pt-BR" sz="18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VN</a:t>
            </a:r>
            <a:r>
              <a:rPr lang="pt-BR" sz="1800" b="1" baseline="0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 = 99.637.123,52</a:t>
            </a:r>
            <a:endParaRPr lang="pt-BR" sz="1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17" name="Line 22"/>
          <xdr:cNvSpPr>
            <a:spLocks noChangeShapeType="1"/>
          </xdr:cNvSpPr>
        </xdr:nvSpPr>
        <xdr:spPr bwMode="auto">
          <a:xfrm flipV="1">
            <a:off x="1403350" y="3140075"/>
            <a:ext cx="0" cy="12255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19" name="Text Box 24"/>
          <xdr:cNvSpPr txBox="1">
            <a:spLocks noChangeArrowheads="1"/>
          </xdr:cNvSpPr>
        </xdr:nvSpPr>
        <xdr:spPr bwMode="auto">
          <a:xfrm>
            <a:off x="3419475" y="2787650"/>
            <a:ext cx="503238" cy="37414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4</a:t>
            </a:r>
          </a:p>
        </xdr:txBody>
      </xdr:sp>
      <xdr:sp macro="" textlink="">
        <xdr:nvSpPr>
          <xdr:cNvPr id="20" name="Line 25"/>
          <xdr:cNvSpPr>
            <a:spLocks noChangeShapeType="1"/>
          </xdr:cNvSpPr>
        </xdr:nvSpPr>
        <xdr:spPr bwMode="auto">
          <a:xfrm flipV="1">
            <a:off x="1401103" y="2036562"/>
            <a:ext cx="7044" cy="1103316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1" name="Text Box 27"/>
          <xdr:cNvSpPr txBox="1">
            <a:spLocks noChangeArrowheads="1"/>
          </xdr:cNvSpPr>
        </xdr:nvSpPr>
        <xdr:spPr bwMode="auto">
          <a:xfrm>
            <a:off x="1948135" y="3444993"/>
            <a:ext cx="2881312" cy="37414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solidFill>
                  <a:srgbClr val="0000FF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Calibri" pitchFamily="34" charset="0"/>
                <a:cs typeface="Calibri" pitchFamily="34" charset="0"/>
              </a:rPr>
              <a:t>TMA = 18% a.a.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46182</xdr:colOff>
      <xdr:row>0</xdr:row>
      <xdr:rowOff>0</xdr:rowOff>
    </xdr:from>
    <xdr:to>
      <xdr:col>8</xdr:col>
      <xdr:colOff>254000</xdr:colOff>
      <xdr:row>18</xdr:row>
      <xdr:rowOff>84666</xdr:rowOff>
    </xdr:to>
    <xdr:grpSp>
      <xdr:nvGrpSpPr>
        <xdr:cNvPr id="2" name="Grupo 1"/>
        <xdr:cNvGrpSpPr/>
      </xdr:nvGrpSpPr>
      <xdr:grpSpPr>
        <a:xfrm>
          <a:off x="46182" y="0"/>
          <a:ext cx="5084618" cy="4875741"/>
          <a:chOff x="1979613" y="2060848"/>
          <a:chExt cx="5366124" cy="3927245"/>
        </a:xfrm>
      </xdr:grpSpPr>
      <xdr:sp macro="" textlink="">
        <xdr:nvSpPr>
          <xdr:cNvPr id="4" name="Line 4"/>
          <xdr:cNvSpPr>
            <a:spLocks noChangeShapeType="1"/>
          </xdr:cNvSpPr>
        </xdr:nvSpPr>
        <xdr:spPr bwMode="auto">
          <a:xfrm>
            <a:off x="2801938" y="4139332"/>
            <a:ext cx="392747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5" name="Line 5"/>
          <xdr:cNvSpPr>
            <a:spLocks noChangeShapeType="1"/>
          </xdr:cNvSpPr>
        </xdr:nvSpPr>
        <xdr:spPr bwMode="auto">
          <a:xfrm>
            <a:off x="2801938" y="4131394"/>
            <a:ext cx="1587" cy="190500"/>
          </a:xfrm>
          <a:prstGeom prst="line">
            <a:avLst/>
          </a:prstGeom>
          <a:noFill/>
          <a:ln w="38100">
            <a:solidFill>
              <a:srgbClr val="3333CC"/>
            </a:solidFill>
            <a:round/>
            <a:headEnd type="none" w="sm" len="sm"/>
            <a:tailEnd type="none" w="sm" len="sm"/>
          </a:ln>
        </xdr:spPr>
        <xdr:txBody>
          <a:bodyPr wrap="square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6" name="Line 6"/>
          <xdr:cNvSpPr>
            <a:spLocks noChangeShapeType="1"/>
          </xdr:cNvSpPr>
        </xdr:nvSpPr>
        <xdr:spPr bwMode="auto">
          <a:xfrm>
            <a:off x="3587750" y="4131394"/>
            <a:ext cx="1588" cy="190500"/>
          </a:xfrm>
          <a:prstGeom prst="line">
            <a:avLst/>
          </a:prstGeom>
          <a:noFill/>
          <a:ln w="38100">
            <a:solidFill>
              <a:srgbClr val="3333CC"/>
            </a:solidFill>
            <a:round/>
            <a:headEnd type="none" w="sm" len="sm"/>
            <a:tailEnd type="none" w="sm" len="sm"/>
          </a:ln>
        </xdr:spPr>
        <xdr:txBody>
          <a:bodyPr wrap="square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7" name="Line 7"/>
          <xdr:cNvSpPr>
            <a:spLocks noChangeShapeType="1"/>
          </xdr:cNvSpPr>
        </xdr:nvSpPr>
        <xdr:spPr bwMode="auto">
          <a:xfrm>
            <a:off x="4373563" y="4131394"/>
            <a:ext cx="3174" cy="6667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8" name="Line 8"/>
          <xdr:cNvSpPr>
            <a:spLocks noChangeShapeType="1"/>
          </xdr:cNvSpPr>
        </xdr:nvSpPr>
        <xdr:spPr bwMode="auto">
          <a:xfrm>
            <a:off x="5159374" y="4131394"/>
            <a:ext cx="1587" cy="910431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9" name="Line 9"/>
          <xdr:cNvSpPr>
            <a:spLocks noChangeShapeType="1"/>
          </xdr:cNvSpPr>
        </xdr:nvSpPr>
        <xdr:spPr bwMode="auto">
          <a:xfrm>
            <a:off x="5943600" y="4131394"/>
            <a:ext cx="0" cy="1184275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10" name="Line 10"/>
          <xdr:cNvSpPr>
            <a:spLocks noChangeShapeType="1"/>
          </xdr:cNvSpPr>
        </xdr:nvSpPr>
        <xdr:spPr bwMode="auto">
          <a:xfrm>
            <a:off x="6729413" y="4144095"/>
            <a:ext cx="0" cy="1523057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11" name="Rectangle 11"/>
          <xdr:cNvSpPr>
            <a:spLocks noChangeArrowheads="1"/>
          </xdr:cNvSpPr>
        </xdr:nvSpPr>
        <xdr:spPr bwMode="auto">
          <a:xfrm>
            <a:off x="2627313" y="4140919"/>
            <a:ext cx="196850" cy="5715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eaLnBrk="0" hangingPunct="0"/>
            <a:r>
              <a:rPr lang="pt-BR" sz="18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0</a:t>
            </a:r>
          </a:p>
        </xdr:txBody>
      </xdr:sp>
      <xdr:sp macro="" textlink="">
        <xdr:nvSpPr>
          <xdr:cNvPr id="12" name="Rectangle 12"/>
          <xdr:cNvSpPr>
            <a:spLocks noChangeArrowheads="1"/>
          </xdr:cNvSpPr>
        </xdr:nvSpPr>
        <xdr:spPr bwMode="auto">
          <a:xfrm>
            <a:off x="3216275" y="4140919"/>
            <a:ext cx="590550" cy="5730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eaLnBrk="0" hangingPunct="0"/>
            <a:r>
              <a:rPr lang="pt-BR" sz="18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  1</a:t>
            </a:r>
          </a:p>
        </xdr:txBody>
      </xdr:sp>
      <xdr:sp macro="" textlink="">
        <xdr:nvSpPr>
          <xdr:cNvPr id="13" name="Rectangle 13"/>
          <xdr:cNvSpPr>
            <a:spLocks noChangeArrowheads="1"/>
          </xdr:cNvSpPr>
        </xdr:nvSpPr>
        <xdr:spPr bwMode="auto">
          <a:xfrm>
            <a:off x="4021138" y="4125044"/>
            <a:ext cx="590550" cy="3825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eaLnBrk="0" hangingPunct="0"/>
            <a:r>
              <a:rPr lang="pt-BR" sz="18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  2</a:t>
            </a:r>
          </a:p>
        </xdr:txBody>
      </xdr:sp>
      <xdr:sp macro="" textlink="">
        <xdr:nvSpPr>
          <xdr:cNvPr id="14" name="Rectangle 14"/>
          <xdr:cNvSpPr>
            <a:spLocks noChangeArrowheads="1"/>
          </xdr:cNvSpPr>
        </xdr:nvSpPr>
        <xdr:spPr bwMode="auto">
          <a:xfrm>
            <a:off x="4983163" y="4140919"/>
            <a:ext cx="395287" cy="3825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eaLnBrk="0" hangingPunct="0"/>
            <a:r>
              <a:rPr lang="pt-BR" sz="18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3</a:t>
            </a:r>
          </a:p>
        </xdr:txBody>
      </xdr:sp>
      <xdr:sp macro="" textlink="">
        <xdr:nvSpPr>
          <xdr:cNvPr id="15" name="Rectangle 15"/>
          <xdr:cNvSpPr>
            <a:spLocks noChangeArrowheads="1"/>
          </xdr:cNvSpPr>
        </xdr:nvSpPr>
        <xdr:spPr bwMode="auto">
          <a:xfrm>
            <a:off x="5572125" y="4139332"/>
            <a:ext cx="395288" cy="38258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eaLnBrk="0" hangingPunct="0"/>
            <a:r>
              <a:rPr lang="pt-BR" sz="18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  4</a:t>
            </a:r>
          </a:p>
        </xdr:txBody>
      </xdr:sp>
      <xdr:sp macro="" textlink="">
        <xdr:nvSpPr>
          <xdr:cNvPr id="16" name="Text Box 16"/>
          <xdr:cNvSpPr txBox="1">
            <a:spLocks noChangeArrowheads="1"/>
          </xdr:cNvSpPr>
        </xdr:nvSpPr>
        <xdr:spPr bwMode="auto">
          <a:xfrm>
            <a:off x="6392863" y="4109169"/>
            <a:ext cx="590550" cy="5715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eaLnBrk="0" hangingPunct="0"/>
            <a:r>
              <a:rPr lang="pt-BR" sz="18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5</a:t>
            </a:r>
          </a:p>
        </xdr:txBody>
      </xdr:sp>
      <xdr:sp macro="" textlink="">
        <xdr:nvSpPr>
          <xdr:cNvPr id="17" name="Line 17"/>
          <xdr:cNvSpPr>
            <a:spLocks noChangeShapeType="1"/>
          </xdr:cNvSpPr>
        </xdr:nvSpPr>
        <xdr:spPr bwMode="auto">
          <a:xfrm>
            <a:off x="3587750" y="4144094"/>
            <a:ext cx="0" cy="38100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18" name="Text Box 18"/>
          <xdr:cNvSpPr txBox="1">
            <a:spLocks noChangeArrowheads="1"/>
          </xdr:cNvSpPr>
        </xdr:nvSpPr>
        <xdr:spPr bwMode="auto">
          <a:xfrm>
            <a:off x="2987675" y="4453657"/>
            <a:ext cx="1177925" cy="344487"/>
          </a:xfrm>
          <a:prstGeom prst="rect">
            <a:avLst/>
          </a:prstGeom>
          <a:noFill/>
          <a:ln w="38100" algn="ctr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0" hangingPunct="0"/>
            <a:r>
              <a:rPr lang="pt-BR" sz="20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200.000</a:t>
            </a:r>
          </a:p>
        </xdr:txBody>
      </xdr:sp>
      <xdr:sp macro="" textlink="">
        <xdr:nvSpPr>
          <xdr:cNvPr id="19" name="Line 19"/>
          <xdr:cNvSpPr>
            <a:spLocks noChangeShapeType="1"/>
          </xdr:cNvSpPr>
        </xdr:nvSpPr>
        <xdr:spPr bwMode="auto">
          <a:xfrm>
            <a:off x="3576637" y="2420888"/>
            <a:ext cx="6351" cy="1710506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 type="stealth" w="med" len="lg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0" name="Line 20"/>
          <xdr:cNvSpPr>
            <a:spLocks noChangeShapeType="1"/>
          </xdr:cNvSpPr>
        </xdr:nvSpPr>
        <xdr:spPr bwMode="auto">
          <a:xfrm>
            <a:off x="4356100" y="2420888"/>
            <a:ext cx="0" cy="1710506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 type="stealth" w="med" len="lg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1" name="Line 21"/>
          <xdr:cNvSpPr>
            <a:spLocks noChangeShapeType="1"/>
          </xdr:cNvSpPr>
        </xdr:nvSpPr>
        <xdr:spPr bwMode="auto">
          <a:xfrm flipH="1">
            <a:off x="5148262" y="2420888"/>
            <a:ext cx="12699" cy="1710506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 type="stealth" w="med" len="lg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2" name="Line 22"/>
          <xdr:cNvSpPr>
            <a:spLocks noChangeShapeType="1"/>
          </xdr:cNvSpPr>
        </xdr:nvSpPr>
        <xdr:spPr bwMode="auto">
          <a:xfrm>
            <a:off x="5927725" y="2420888"/>
            <a:ext cx="12700" cy="1710506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 type="stealth" w="med" len="lg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3" name="Line 23"/>
          <xdr:cNvSpPr>
            <a:spLocks noChangeShapeType="1"/>
          </xdr:cNvSpPr>
        </xdr:nvSpPr>
        <xdr:spPr bwMode="auto">
          <a:xfrm>
            <a:off x="6729413" y="2420888"/>
            <a:ext cx="3175" cy="1710506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 type="stealth" w="med" len="lg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4" name="Line 24"/>
          <xdr:cNvSpPr>
            <a:spLocks noChangeShapeType="1"/>
          </xdr:cNvSpPr>
        </xdr:nvSpPr>
        <xdr:spPr bwMode="auto">
          <a:xfrm>
            <a:off x="3635375" y="2420888"/>
            <a:ext cx="3168650" cy="0"/>
          </a:xfrm>
          <a:prstGeom prst="line">
            <a:avLst/>
          </a:prstGeom>
          <a:noFill/>
          <a:ln w="50800">
            <a:solidFill>
              <a:srgbClr val="0000FF"/>
            </a:solidFill>
            <a:prstDash val="dash"/>
            <a:round/>
            <a:headEnd type="none" w="med" len="lg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5" name="Rectangle 25"/>
          <xdr:cNvSpPr>
            <a:spLocks noChangeArrowheads="1"/>
          </xdr:cNvSpPr>
        </xdr:nvSpPr>
        <xdr:spPr bwMode="auto">
          <a:xfrm>
            <a:off x="4270375" y="2060848"/>
            <a:ext cx="1657350" cy="236537"/>
          </a:xfrm>
          <a:prstGeom prst="rect">
            <a:avLst/>
          </a:prstGeom>
          <a:noFill/>
          <a:ln w="38100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0" hangingPunct="0"/>
            <a:r>
              <a:rPr lang="pt-BR" sz="20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350.000</a:t>
            </a:r>
          </a:p>
        </xdr:txBody>
      </xdr:sp>
      <xdr:sp macro="" textlink="">
        <xdr:nvSpPr>
          <xdr:cNvPr id="26" name="Text Box 26"/>
          <xdr:cNvSpPr txBox="1">
            <a:spLocks noChangeArrowheads="1"/>
          </xdr:cNvSpPr>
        </xdr:nvSpPr>
        <xdr:spPr bwMode="auto">
          <a:xfrm>
            <a:off x="3769845" y="4737819"/>
            <a:ext cx="1177925" cy="344487"/>
          </a:xfrm>
          <a:prstGeom prst="rect">
            <a:avLst/>
          </a:prstGeom>
          <a:noFill/>
          <a:ln w="38100" algn="ctr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0" hangingPunct="0"/>
            <a:r>
              <a:rPr lang="pt-BR" sz="20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205.000</a:t>
            </a:r>
          </a:p>
        </xdr:txBody>
      </xdr:sp>
      <xdr:sp macro="" textlink="">
        <xdr:nvSpPr>
          <xdr:cNvPr id="27" name="Text Box 27"/>
          <xdr:cNvSpPr txBox="1">
            <a:spLocks noChangeArrowheads="1"/>
          </xdr:cNvSpPr>
        </xdr:nvSpPr>
        <xdr:spPr bwMode="auto">
          <a:xfrm>
            <a:off x="4573541" y="5008950"/>
            <a:ext cx="1177925" cy="344488"/>
          </a:xfrm>
          <a:prstGeom prst="rect">
            <a:avLst/>
          </a:prstGeom>
          <a:noFill/>
          <a:ln w="38100" algn="ctr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0" hangingPunct="0"/>
            <a:r>
              <a:rPr lang="pt-BR" sz="20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210.000</a:t>
            </a:r>
          </a:p>
        </xdr:txBody>
      </xdr:sp>
      <xdr:sp macro="" textlink="">
        <xdr:nvSpPr>
          <xdr:cNvPr id="28" name="Text Box 28"/>
          <xdr:cNvSpPr txBox="1">
            <a:spLocks noChangeArrowheads="1"/>
          </xdr:cNvSpPr>
        </xdr:nvSpPr>
        <xdr:spPr bwMode="auto">
          <a:xfrm>
            <a:off x="5378450" y="5322664"/>
            <a:ext cx="1177925" cy="344488"/>
          </a:xfrm>
          <a:prstGeom prst="rect">
            <a:avLst/>
          </a:prstGeom>
          <a:noFill/>
          <a:ln w="38100" algn="ctr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0" hangingPunct="0"/>
            <a:r>
              <a:rPr lang="pt-BR" sz="20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215.000</a:t>
            </a:r>
          </a:p>
        </xdr:txBody>
      </xdr:sp>
      <xdr:sp macro="" textlink="">
        <xdr:nvSpPr>
          <xdr:cNvPr id="29" name="Text Box 29"/>
          <xdr:cNvSpPr txBox="1">
            <a:spLocks noChangeArrowheads="1"/>
          </xdr:cNvSpPr>
        </xdr:nvSpPr>
        <xdr:spPr bwMode="auto">
          <a:xfrm>
            <a:off x="6167812" y="5643606"/>
            <a:ext cx="1177925" cy="344487"/>
          </a:xfrm>
          <a:prstGeom prst="rect">
            <a:avLst/>
          </a:prstGeom>
          <a:noFill/>
          <a:ln w="38100" algn="ctr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0" hangingPunct="0"/>
            <a:r>
              <a:rPr lang="pt-BR" sz="20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220.000</a:t>
            </a:r>
          </a:p>
        </xdr:txBody>
      </xdr:sp>
      <xdr:sp macro="" textlink="">
        <xdr:nvSpPr>
          <xdr:cNvPr id="30" name="Line 30"/>
          <xdr:cNvSpPr>
            <a:spLocks noChangeShapeType="1"/>
          </xdr:cNvSpPr>
        </xdr:nvSpPr>
        <xdr:spPr bwMode="auto">
          <a:xfrm>
            <a:off x="2805113" y="4159969"/>
            <a:ext cx="0" cy="115570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 type="stealth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31" name="Rectangle 31"/>
          <xdr:cNvSpPr>
            <a:spLocks noChangeArrowheads="1"/>
          </xdr:cNvSpPr>
        </xdr:nvSpPr>
        <xdr:spPr bwMode="auto">
          <a:xfrm>
            <a:off x="1979613" y="5282332"/>
            <a:ext cx="1657350" cy="236537"/>
          </a:xfrm>
          <a:prstGeom prst="rect">
            <a:avLst/>
          </a:prstGeom>
          <a:noFill/>
          <a:ln w="38100">
            <a:noFill/>
            <a:miter lim="800000"/>
            <a:headEnd/>
            <a:tailEnd/>
          </a:ln>
        </xdr:spPr>
        <xdr:txBody>
          <a:bodyPr wrap="square" lIns="12700" tIns="12700" rIns="12700" bIns="12700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0" hangingPunct="0"/>
            <a:r>
              <a:rPr lang="pt-BR" sz="2000" b="1">
                <a:solidFill>
                  <a:schemeClr val="tx1"/>
                </a:solidFill>
                <a:latin typeface="Calibri" pitchFamily="34" charset="0"/>
                <a:cs typeface="Calibri" pitchFamily="34" charset="0"/>
              </a:rPr>
              <a:t>350.000</a:t>
            </a:r>
          </a:p>
        </xdr:txBody>
      </xdr:sp>
      <xdr:sp macro="" textlink="">
        <xdr:nvSpPr>
          <xdr:cNvPr id="32" name="Line 32"/>
          <xdr:cNvSpPr>
            <a:spLocks noChangeShapeType="1"/>
          </xdr:cNvSpPr>
        </xdr:nvSpPr>
        <xdr:spPr bwMode="auto">
          <a:xfrm>
            <a:off x="3635375" y="4509219"/>
            <a:ext cx="3097213" cy="0"/>
          </a:xfrm>
          <a:prstGeom prst="line">
            <a:avLst/>
          </a:prstGeom>
          <a:noFill/>
          <a:ln w="3175">
            <a:solidFill>
              <a:srgbClr val="FF0000"/>
            </a:solidFill>
            <a:prstDash val="dash"/>
            <a:round/>
            <a:headEnd type="none" w="med" len="lg"/>
            <a:tailEnd type="none" w="med" len="lg"/>
          </a:ln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latin typeface="Calibri" pitchFamily="34" charset="0"/>
              <a:cs typeface="Calibri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3</xdr:row>
      <xdr:rowOff>131981</xdr:rowOff>
    </xdr:from>
    <xdr:to>
      <xdr:col>2</xdr:col>
      <xdr:colOff>438150</xdr:colOff>
      <xdr:row>4</xdr:row>
      <xdr:rowOff>178019</xdr:rowOff>
    </xdr:to>
    <xdr:sp macro="" textlink="">
      <xdr:nvSpPr>
        <xdr:cNvPr id="3" name="Rectangle 34" descr="692d1d2e-9084-453d-8c4d-7b2fd910e734"/>
        <xdr:cNvSpPr>
          <a:spLocks noChangeArrowheads="1"/>
        </xdr:cNvSpPr>
      </xdr:nvSpPr>
      <xdr:spPr bwMode="auto">
        <a:xfrm>
          <a:off x="0" y="703481"/>
          <a:ext cx="1662793" cy="236538"/>
        </a:xfrm>
        <a:prstGeom prst="rect">
          <a:avLst/>
        </a:prstGeom>
        <a:noFill/>
        <a:ln w="38100">
          <a:noFill/>
          <a:miter lim="800000"/>
          <a:headEnd/>
          <a:tailEnd/>
        </a:ln>
      </xdr:spPr>
      <xdr:txBody>
        <a:bodyPr wrap="square" lIns="12700" tIns="12700" rIns="12700" bIns="12700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0" hangingPunct="0"/>
          <a:r>
            <a:rPr lang="pt-BR" sz="2000" b="1">
              <a:solidFill>
                <a:schemeClr val="tx1"/>
              </a:solidFill>
              <a:latin typeface="Calibri" pitchFamily="34" charset="0"/>
              <a:cs typeface="Calibri" pitchFamily="34" charset="0"/>
            </a:rPr>
            <a:t>TMA = 8%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498929</xdr:colOff>
      <xdr:row>1</xdr:row>
      <xdr:rowOff>178565</xdr:rowOff>
    </xdr:from>
    <xdr:to>
      <xdr:col>6</xdr:col>
      <xdr:colOff>352774</xdr:colOff>
      <xdr:row>12</xdr:row>
      <xdr:rowOff>4018</xdr:rowOff>
    </xdr:to>
    <xdr:grpSp>
      <xdr:nvGrpSpPr>
        <xdr:cNvPr id="2" name="Grupo 1"/>
        <xdr:cNvGrpSpPr/>
      </xdr:nvGrpSpPr>
      <xdr:grpSpPr>
        <a:xfrm>
          <a:off x="498929" y="369065"/>
          <a:ext cx="3323666" cy="1920953"/>
          <a:chOff x="5042199" y="1656599"/>
          <a:chExt cx="3519656" cy="1916417"/>
        </a:xfrm>
      </xdr:grpSpPr>
      <xdr:cxnSp macro="">
        <xdr:nvCxnSpPr>
          <xdr:cNvPr id="3" name="Conector de seta reta 2"/>
          <xdr:cNvCxnSpPr/>
        </xdr:nvCxnSpPr>
        <xdr:spPr bwMode="auto">
          <a:xfrm>
            <a:off x="5796136" y="2408823"/>
            <a:ext cx="0" cy="785291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4" name="Conector reto 3"/>
          <xdr:cNvCxnSpPr/>
        </xdr:nvCxnSpPr>
        <xdr:spPr bwMode="auto">
          <a:xfrm>
            <a:off x="5796136" y="240882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5" name="Conector de seta reta 4"/>
          <xdr:cNvCxnSpPr/>
        </xdr:nvCxnSpPr>
        <xdr:spPr bwMode="auto">
          <a:xfrm flipV="1">
            <a:off x="6264597" y="208864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6" name="Conector de seta reta 5"/>
          <xdr:cNvCxnSpPr/>
        </xdr:nvCxnSpPr>
        <xdr:spPr bwMode="auto">
          <a:xfrm flipV="1">
            <a:off x="8235530" y="208987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7" name="Conector reto 6"/>
          <xdr:cNvCxnSpPr/>
        </xdr:nvCxnSpPr>
        <xdr:spPr bwMode="auto">
          <a:xfrm>
            <a:off x="6264597" y="208864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8" name="CaixaDeTexto 15"/>
          <xdr:cNvSpPr txBox="1"/>
        </xdr:nvSpPr>
        <xdr:spPr>
          <a:xfrm>
            <a:off x="6520510" y="1656599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2.000</a:t>
            </a:r>
          </a:p>
        </xdr:txBody>
      </xdr:sp>
      <xdr:sp macro="" textlink="">
        <xdr:nvSpPr>
          <xdr:cNvPr id="9" name="CaixaDeTexto 23"/>
          <xdr:cNvSpPr txBox="1"/>
        </xdr:nvSpPr>
        <xdr:spPr>
          <a:xfrm>
            <a:off x="5042199" y="3203684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10.000</a:t>
            </a:r>
          </a:p>
        </xdr:txBody>
      </xdr:sp>
      <xdr:sp macro="" textlink="">
        <xdr:nvSpPr>
          <xdr:cNvPr id="10" name="CaixaDeTexto 20"/>
          <xdr:cNvSpPr txBox="1"/>
        </xdr:nvSpPr>
        <xdr:spPr>
          <a:xfrm>
            <a:off x="5759412" y="2366636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11" name="CaixaDeTexto 36"/>
          <xdr:cNvSpPr txBox="1"/>
        </xdr:nvSpPr>
        <xdr:spPr>
          <a:xfrm>
            <a:off x="8018522" y="2370366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17</xdr:col>
      <xdr:colOff>281213</xdr:colOff>
      <xdr:row>1</xdr:row>
      <xdr:rowOff>103118</xdr:rowOff>
    </xdr:from>
    <xdr:to>
      <xdr:col>24</xdr:col>
      <xdr:colOff>384260</xdr:colOff>
      <xdr:row>13</xdr:row>
      <xdr:rowOff>69129</xdr:rowOff>
    </xdr:to>
    <xdr:grpSp>
      <xdr:nvGrpSpPr>
        <xdr:cNvPr id="12" name="Grupo 11"/>
        <xdr:cNvGrpSpPr/>
      </xdr:nvGrpSpPr>
      <xdr:grpSpPr>
        <a:xfrm>
          <a:off x="14126481" y="293618"/>
          <a:ext cx="4151172" cy="2252011"/>
          <a:chOff x="5005844" y="3769277"/>
          <a:chExt cx="3958644" cy="2252011"/>
        </a:xfrm>
      </xdr:grpSpPr>
      <xdr:cxnSp macro="">
        <xdr:nvCxnSpPr>
          <xdr:cNvPr id="13" name="Conector de seta reta 12"/>
          <xdr:cNvCxnSpPr/>
        </xdr:nvCxnSpPr>
        <xdr:spPr bwMode="auto">
          <a:xfrm>
            <a:off x="5759781" y="4890833"/>
            <a:ext cx="0" cy="785291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4" name="Conector reto 13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15" name="Conector de seta reta 14"/>
          <xdr:cNvCxnSpPr/>
        </xdr:nvCxnSpPr>
        <xdr:spPr bwMode="auto">
          <a:xfrm flipV="1">
            <a:off x="6228242" y="457065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6" name="Conector de seta reta 15"/>
          <xdr:cNvCxnSpPr/>
        </xdr:nvCxnSpPr>
        <xdr:spPr bwMode="auto">
          <a:xfrm flipV="1">
            <a:off x="8199175" y="457188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7" name="Conector reto 16"/>
          <xdr:cNvCxnSpPr/>
        </xdr:nvCxnSpPr>
        <xdr:spPr bwMode="auto">
          <a:xfrm>
            <a:off x="6228242" y="457065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18" name="CaixaDeTexto 30"/>
          <xdr:cNvSpPr txBox="1"/>
        </xdr:nvSpPr>
        <xdr:spPr>
          <a:xfrm>
            <a:off x="6484155" y="4138609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4.700</a:t>
            </a:r>
          </a:p>
        </xdr:txBody>
      </xdr:sp>
      <xdr:sp macro="" textlink="">
        <xdr:nvSpPr>
          <xdr:cNvPr id="19" name="CaixaDeTexto 31"/>
          <xdr:cNvSpPr txBox="1"/>
        </xdr:nvSpPr>
        <xdr:spPr>
          <a:xfrm>
            <a:off x="5005844" y="565195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30.000</a:t>
            </a:r>
          </a:p>
        </xdr:txBody>
      </xdr:sp>
      <xdr:cxnSp macro="">
        <xdr:nvCxnSpPr>
          <xdr:cNvPr id="20" name="Conector de seta reta 19"/>
          <xdr:cNvCxnSpPr/>
        </xdr:nvCxnSpPr>
        <xdr:spPr bwMode="auto">
          <a:xfrm flipV="1">
            <a:off x="8199175" y="4138610"/>
            <a:ext cx="0" cy="433277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21" name="CaixaDeTexto 34"/>
          <xdr:cNvSpPr txBox="1"/>
        </xdr:nvSpPr>
        <xdr:spPr>
          <a:xfrm>
            <a:off x="7456614" y="3769277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10.705</a:t>
            </a:r>
          </a:p>
        </xdr:txBody>
      </xdr:sp>
      <xdr:sp macro="" textlink="">
        <xdr:nvSpPr>
          <xdr:cNvPr id="22" name="CaixaDeTexto 37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23" name="CaixaDeTexto 38"/>
          <xdr:cNvSpPr txBox="1"/>
        </xdr:nvSpPr>
        <xdr:spPr>
          <a:xfrm>
            <a:off x="7983238" y="4867735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85539</xdr:colOff>
      <xdr:row>0</xdr:row>
      <xdr:rowOff>146815</xdr:rowOff>
    </xdr:from>
    <xdr:to>
      <xdr:col>5</xdr:col>
      <xdr:colOff>461631</xdr:colOff>
      <xdr:row>8</xdr:row>
      <xdr:rowOff>10749</xdr:rowOff>
    </xdr:to>
    <xdr:grpSp>
      <xdr:nvGrpSpPr>
        <xdr:cNvPr id="2" name="Grupo 1"/>
        <xdr:cNvGrpSpPr/>
      </xdr:nvGrpSpPr>
      <xdr:grpSpPr>
        <a:xfrm>
          <a:off x="85539" y="146815"/>
          <a:ext cx="3675824" cy="1387934"/>
          <a:chOff x="5124473" y="1354631"/>
          <a:chExt cx="3437382" cy="1384414"/>
        </a:xfrm>
      </xdr:grpSpPr>
      <xdr:cxnSp macro="">
        <xdr:nvCxnSpPr>
          <xdr:cNvPr id="16" name="Conector reto 15"/>
          <xdr:cNvCxnSpPr/>
        </xdr:nvCxnSpPr>
        <xdr:spPr bwMode="auto">
          <a:xfrm>
            <a:off x="5796136" y="240882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18" name="Conector de seta reta 17"/>
          <xdr:cNvCxnSpPr/>
        </xdr:nvCxnSpPr>
        <xdr:spPr bwMode="auto">
          <a:xfrm flipV="1">
            <a:off x="5796828" y="1715281"/>
            <a:ext cx="104" cy="676188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20" name="CaixaDeTexto 15"/>
          <xdr:cNvSpPr txBox="1"/>
        </xdr:nvSpPr>
        <xdr:spPr>
          <a:xfrm>
            <a:off x="5124473" y="1354631"/>
            <a:ext cx="1771838" cy="38321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VPL = 3.420,16</a:t>
            </a:r>
          </a:p>
        </xdr:txBody>
      </xdr:sp>
      <xdr:sp macro="" textlink="">
        <xdr:nvSpPr>
          <xdr:cNvPr id="22" name="CaixaDeTexto 20"/>
          <xdr:cNvSpPr txBox="1"/>
        </xdr:nvSpPr>
        <xdr:spPr>
          <a:xfrm>
            <a:off x="5759412" y="2366636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23" name="CaixaDeTexto 36"/>
          <xdr:cNvSpPr txBox="1"/>
        </xdr:nvSpPr>
        <xdr:spPr>
          <a:xfrm>
            <a:off x="8018522" y="2370366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13</xdr:col>
      <xdr:colOff>599625</xdr:colOff>
      <xdr:row>1</xdr:row>
      <xdr:rowOff>125795</xdr:rowOff>
    </xdr:from>
    <xdr:to>
      <xdr:col>19</xdr:col>
      <xdr:colOff>358700</xdr:colOff>
      <xdr:row>10</xdr:row>
      <xdr:rowOff>33473</xdr:rowOff>
    </xdr:to>
    <xdr:grpSp>
      <xdr:nvGrpSpPr>
        <xdr:cNvPr id="3" name="Grupo 2"/>
        <xdr:cNvGrpSpPr/>
      </xdr:nvGrpSpPr>
      <xdr:grpSpPr>
        <a:xfrm>
          <a:off x="9396643" y="316295"/>
          <a:ext cx="3433003" cy="1622178"/>
          <a:chOff x="5076342" y="3615891"/>
          <a:chExt cx="3450229" cy="1620523"/>
        </a:xfrm>
      </xdr:grpSpPr>
      <xdr:cxnSp macro="">
        <xdr:nvCxnSpPr>
          <xdr:cNvPr id="5" name="Conector reto 4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11" name="Conector de seta reta 10"/>
          <xdr:cNvCxnSpPr/>
        </xdr:nvCxnSpPr>
        <xdr:spPr bwMode="auto">
          <a:xfrm flipH="1" flipV="1">
            <a:off x="5758655" y="3970377"/>
            <a:ext cx="3679" cy="92222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12" name="CaixaDeTexto 34"/>
          <xdr:cNvSpPr txBox="1"/>
        </xdr:nvSpPr>
        <xdr:spPr>
          <a:xfrm>
            <a:off x="5076342" y="3615891"/>
            <a:ext cx="1811077" cy="38340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VPL = 6.495,87</a:t>
            </a:r>
          </a:p>
        </xdr:txBody>
      </xdr:sp>
      <xdr:sp macro="" textlink="">
        <xdr:nvSpPr>
          <xdr:cNvPr id="13" name="CaixaDeTexto 37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14" name="CaixaDeTexto 38"/>
          <xdr:cNvSpPr txBox="1"/>
        </xdr:nvSpPr>
        <xdr:spPr>
          <a:xfrm>
            <a:off x="7983238" y="4867735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528100</xdr:colOff>
      <xdr:row>5</xdr:row>
      <xdr:rowOff>152117</xdr:rowOff>
    </xdr:from>
    <xdr:to>
      <xdr:col>6</xdr:col>
      <xdr:colOff>91084</xdr:colOff>
      <xdr:row>5</xdr:row>
      <xdr:rowOff>152117</xdr:rowOff>
    </xdr:to>
    <xdr:cxnSp macro="">
      <xdr:nvCxnSpPr>
        <xdr:cNvPr id="4" name="Conector reto 3"/>
        <xdr:cNvCxnSpPr/>
      </xdr:nvCxnSpPr>
      <xdr:spPr bwMode="auto">
        <a:xfrm>
          <a:off x="1167636" y="1131831"/>
          <a:ext cx="2760662" cy="0"/>
        </a:xfrm>
        <a:prstGeom prst="line">
          <a:avLst/>
        </a:prstGeom>
        <a:noFill/>
        <a:ln w="25400" cap="flat" cmpd="sng" algn="ctr">
          <a:solidFill>
            <a:schemeClr val="tx1"/>
          </a:solidFill>
          <a:prstDash val="solid"/>
          <a:round/>
          <a:headEnd type="none" w="sm" len="sm"/>
          <a:tailEnd type="none" w="sm" len="sm"/>
        </a:ln>
        <a:effectLst/>
      </xdr:spPr>
    </xdr:cxnSp>
    <xdr:clientData/>
  </xdr:twoCellAnchor>
  <xdr:twoCellAnchor>
    <xdr:from>
      <xdr:col>2</xdr:col>
      <xdr:colOff>403192</xdr:colOff>
      <xdr:row>4</xdr:row>
      <xdr:rowOff>1161</xdr:rowOff>
    </xdr:from>
    <xdr:to>
      <xdr:col>2</xdr:col>
      <xdr:colOff>403192</xdr:colOff>
      <xdr:row>5</xdr:row>
      <xdr:rowOff>147584</xdr:rowOff>
    </xdr:to>
    <xdr:cxnSp macro="">
      <xdr:nvCxnSpPr>
        <xdr:cNvPr id="5" name="Conector de seta reta 4" descr="3a921b29-2749-490e-96a2-80d18ae37156"/>
        <xdr:cNvCxnSpPr/>
      </xdr:nvCxnSpPr>
      <xdr:spPr bwMode="auto">
        <a:xfrm flipV="1">
          <a:off x="1682263" y="794911"/>
          <a:ext cx="0" cy="332387"/>
        </a:xfrm>
        <a:prstGeom prst="straightConnector1">
          <a:avLst/>
        </a:prstGeom>
        <a:noFill/>
        <a:ln w="25400" cap="flat" cmpd="sng" algn="ctr">
          <a:solidFill>
            <a:srgbClr val="0000FF"/>
          </a:solidFill>
          <a:prstDash val="solid"/>
          <a:round/>
          <a:headEnd type="none" w="sm" len="sm"/>
          <a:tailEnd type="arrow"/>
        </a:ln>
        <a:effectLst/>
      </xdr:spPr>
    </xdr:cxnSp>
    <xdr:clientData/>
  </xdr:twoCellAnchor>
  <xdr:twoCellAnchor>
    <xdr:from>
      <xdr:col>6</xdr:col>
      <xdr:colOff>67465</xdr:colOff>
      <xdr:row>3</xdr:row>
      <xdr:rowOff>183865</xdr:rowOff>
    </xdr:from>
    <xdr:to>
      <xdr:col>6</xdr:col>
      <xdr:colOff>67465</xdr:colOff>
      <xdr:row>5</xdr:row>
      <xdr:rowOff>144324</xdr:rowOff>
    </xdr:to>
    <xdr:cxnSp macro="">
      <xdr:nvCxnSpPr>
        <xdr:cNvPr id="6" name="Conector de seta reta 5" descr="99e08e0c-6389-4fd4-a61b-e262f9e7af3b"/>
        <xdr:cNvCxnSpPr/>
      </xdr:nvCxnSpPr>
      <xdr:spPr bwMode="auto">
        <a:xfrm flipV="1">
          <a:off x="3904679" y="791651"/>
          <a:ext cx="0" cy="332387"/>
        </a:xfrm>
        <a:prstGeom prst="straightConnector1">
          <a:avLst/>
        </a:prstGeom>
        <a:noFill/>
        <a:ln w="25400" cap="flat" cmpd="sng" algn="ctr">
          <a:solidFill>
            <a:srgbClr val="0000FF"/>
          </a:solidFill>
          <a:prstDash val="solid"/>
          <a:round/>
          <a:headEnd type="none" w="sm" len="sm"/>
          <a:tailEnd type="arrow"/>
        </a:ln>
        <a:effectLst/>
      </xdr:spPr>
    </xdr:cxnSp>
    <xdr:clientData/>
  </xdr:twoCellAnchor>
  <xdr:twoCellAnchor>
    <xdr:from>
      <xdr:col>2</xdr:col>
      <xdr:colOff>407728</xdr:colOff>
      <xdr:row>4</xdr:row>
      <xdr:rowOff>1158</xdr:rowOff>
    </xdr:from>
    <xdr:to>
      <xdr:col>6</xdr:col>
      <xdr:colOff>72001</xdr:colOff>
      <xdr:row>4</xdr:row>
      <xdr:rowOff>2434</xdr:rowOff>
    </xdr:to>
    <xdr:cxnSp macro="">
      <xdr:nvCxnSpPr>
        <xdr:cNvPr id="7" name="Conector reto 6"/>
        <xdr:cNvCxnSpPr/>
      </xdr:nvCxnSpPr>
      <xdr:spPr bwMode="auto">
        <a:xfrm>
          <a:off x="1686799" y="794908"/>
          <a:ext cx="2222416" cy="1276"/>
        </a:xfrm>
        <a:prstGeom prst="line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sm" len="sm"/>
          <a:tailEnd type="none" w="sm" len="sm"/>
        </a:ln>
        <a:effectLst/>
      </xdr:spPr>
    </xdr:cxnSp>
    <xdr:clientData/>
  </xdr:twoCellAnchor>
  <xdr:twoCellAnchor>
    <xdr:from>
      <xdr:col>3</xdr:col>
      <xdr:colOff>20473</xdr:colOff>
      <xdr:row>2</xdr:row>
      <xdr:rowOff>51561</xdr:rowOff>
    </xdr:from>
    <xdr:to>
      <xdr:col>5</xdr:col>
      <xdr:colOff>441674</xdr:colOff>
      <xdr:row>4</xdr:row>
      <xdr:rowOff>63050</xdr:rowOff>
    </xdr:to>
    <xdr:sp macro="" textlink="">
      <xdr:nvSpPr>
        <xdr:cNvPr id="8" name="CaixaDeTexto 15"/>
        <xdr:cNvSpPr txBox="1"/>
      </xdr:nvSpPr>
      <xdr:spPr>
        <a:xfrm>
          <a:off x="1939080" y="473382"/>
          <a:ext cx="1700273" cy="3834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pt-BR" sz="1800" b="1">
              <a:solidFill>
                <a:srgbClr val="0000FF"/>
              </a:solidFill>
              <a:latin typeface="+mj-lt"/>
            </a:rPr>
            <a:t>VA = 509,71</a:t>
          </a:r>
        </a:p>
      </xdr:txBody>
    </xdr:sp>
    <xdr:clientData/>
  </xdr:twoCellAnchor>
  <xdr:twoCellAnchor>
    <xdr:from>
      <xdr:col>1</xdr:col>
      <xdr:colOff>273512</xdr:colOff>
      <xdr:row>5</xdr:row>
      <xdr:rowOff>49360</xdr:rowOff>
    </xdr:from>
    <xdr:to>
      <xdr:col>1</xdr:col>
      <xdr:colOff>578531</xdr:colOff>
      <xdr:row>7</xdr:row>
      <xdr:rowOff>64043</xdr:rowOff>
    </xdr:to>
    <xdr:sp macro="" textlink="">
      <xdr:nvSpPr>
        <xdr:cNvPr id="10" name="CaixaDeTexto 20"/>
        <xdr:cNvSpPr txBox="1"/>
      </xdr:nvSpPr>
      <xdr:spPr>
        <a:xfrm>
          <a:off x="913048" y="1029074"/>
          <a:ext cx="305019" cy="38661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r>
            <a:rPr lang="pt-BR" sz="1600">
              <a:latin typeface="+mj-lt"/>
            </a:rPr>
            <a:t>0</a:t>
          </a:r>
        </a:p>
      </xdr:txBody>
    </xdr:sp>
    <xdr:clientData/>
  </xdr:twoCellAnchor>
  <xdr:twoCellAnchor>
    <xdr:from>
      <xdr:col>6</xdr:col>
      <xdr:colOff>22340</xdr:colOff>
      <xdr:row>5</xdr:row>
      <xdr:rowOff>71371</xdr:rowOff>
    </xdr:from>
    <xdr:to>
      <xdr:col>6</xdr:col>
      <xdr:colOff>635000</xdr:colOff>
      <xdr:row>7</xdr:row>
      <xdr:rowOff>50908</xdr:rowOff>
    </xdr:to>
    <xdr:sp macro="" textlink="">
      <xdr:nvSpPr>
        <xdr:cNvPr id="11" name="CaixaDeTexto 36"/>
        <xdr:cNvSpPr txBox="1"/>
      </xdr:nvSpPr>
      <xdr:spPr>
        <a:xfrm>
          <a:off x="3859554" y="1051085"/>
          <a:ext cx="612660" cy="35146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r>
            <a:rPr lang="pt-BR" sz="1600">
              <a:latin typeface="+mj-lt"/>
            </a:rPr>
            <a:t>10</a:t>
          </a:r>
        </a:p>
      </xdr:txBody>
    </xdr:sp>
    <xdr:clientData/>
  </xdr:twoCellAnchor>
  <xdr:twoCellAnchor>
    <xdr:from>
      <xdr:col>15</xdr:col>
      <xdr:colOff>526714</xdr:colOff>
      <xdr:row>4</xdr:row>
      <xdr:rowOff>4057</xdr:rowOff>
    </xdr:from>
    <xdr:to>
      <xdr:col>20</xdr:col>
      <xdr:colOff>372789</xdr:colOff>
      <xdr:row>7</xdr:row>
      <xdr:rowOff>60968</xdr:rowOff>
    </xdr:to>
    <xdr:grpSp>
      <xdr:nvGrpSpPr>
        <xdr:cNvPr id="24" name="Grupo 23"/>
        <xdr:cNvGrpSpPr/>
      </xdr:nvGrpSpPr>
      <xdr:grpSpPr>
        <a:xfrm>
          <a:off x="10902160" y="813682"/>
          <a:ext cx="3268272" cy="628411"/>
          <a:chOff x="5724128" y="4570657"/>
          <a:chExt cx="3006963" cy="665757"/>
        </a:xfrm>
      </xdr:grpSpPr>
      <xdr:cxnSp macro="">
        <xdr:nvCxnSpPr>
          <xdr:cNvPr id="26" name="Conector reto 25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27" name="Conector de seta reta 26"/>
          <xdr:cNvCxnSpPr/>
        </xdr:nvCxnSpPr>
        <xdr:spPr bwMode="auto">
          <a:xfrm flipV="1">
            <a:off x="6228242" y="457065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28" name="Conector de seta reta 27"/>
          <xdr:cNvCxnSpPr/>
        </xdr:nvCxnSpPr>
        <xdr:spPr bwMode="auto">
          <a:xfrm flipV="1">
            <a:off x="8199175" y="457188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29" name="Conector reto 28"/>
          <xdr:cNvCxnSpPr/>
        </xdr:nvCxnSpPr>
        <xdr:spPr bwMode="auto">
          <a:xfrm>
            <a:off x="6228242" y="457065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34" name="CaixaDeTexto 37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35" name="CaixaDeTexto 38"/>
          <xdr:cNvSpPr txBox="1"/>
        </xdr:nvSpPr>
        <xdr:spPr>
          <a:xfrm>
            <a:off x="8187758" y="4833353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16</xdr:col>
      <xdr:colOff>784688</xdr:colOff>
      <xdr:row>2</xdr:row>
      <xdr:rowOff>30543</xdr:rowOff>
    </xdr:from>
    <xdr:to>
      <xdr:col>19</xdr:col>
      <xdr:colOff>200124</xdr:colOff>
      <xdr:row>3</xdr:row>
      <xdr:rowOff>111969</xdr:rowOff>
    </xdr:to>
    <xdr:sp macro="" textlink="">
      <xdr:nvSpPr>
        <xdr:cNvPr id="52" name="CaixaDeTexto 30"/>
        <xdr:cNvSpPr txBox="1"/>
      </xdr:nvSpPr>
      <xdr:spPr>
        <a:xfrm>
          <a:off x="13176259" y="452364"/>
          <a:ext cx="1710508" cy="26739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pt-BR" sz="1800" b="1">
              <a:solidFill>
                <a:srgbClr val="0000FF"/>
              </a:solidFill>
              <a:latin typeface="+mj-lt"/>
            </a:rPr>
            <a:t>VA = 968,08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160421</xdr:rowOff>
    </xdr:from>
    <xdr:to>
      <xdr:col>5</xdr:col>
      <xdr:colOff>461630</xdr:colOff>
      <xdr:row>12</xdr:row>
      <xdr:rowOff>171838</xdr:rowOff>
    </xdr:to>
    <xdr:grpSp>
      <xdr:nvGrpSpPr>
        <xdr:cNvPr id="2" name="Grupo 1"/>
        <xdr:cNvGrpSpPr/>
      </xdr:nvGrpSpPr>
      <xdr:grpSpPr>
        <a:xfrm>
          <a:off x="0" y="589046"/>
          <a:ext cx="3523237" cy="1916417"/>
          <a:chOff x="5042199" y="1656599"/>
          <a:chExt cx="3519656" cy="1916417"/>
        </a:xfrm>
      </xdr:grpSpPr>
      <xdr:cxnSp macro="">
        <xdr:nvCxnSpPr>
          <xdr:cNvPr id="3" name="Conector de seta reta 2"/>
          <xdr:cNvCxnSpPr/>
        </xdr:nvCxnSpPr>
        <xdr:spPr bwMode="auto">
          <a:xfrm>
            <a:off x="5796136" y="2408823"/>
            <a:ext cx="0" cy="785291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4" name="Conector reto 3"/>
          <xdr:cNvCxnSpPr/>
        </xdr:nvCxnSpPr>
        <xdr:spPr bwMode="auto">
          <a:xfrm>
            <a:off x="5796136" y="240882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5" name="Conector de seta reta 4"/>
          <xdr:cNvCxnSpPr/>
        </xdr:nvCxnSpPr>
        <xdr:spPr bwMode="auto">
          <a:xfrm flipV="1">
            <a:off x="6264597" y="208864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6" name="Conector de seta reta 5"/>
          <xdr:cNvCxnSpPr/>
        </xdr:nvCxnSpPr>
        <xdr:spPr bwMode="auto">
          <a:xfrm flipV="1">
            <a:off x="8235530" y="208987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7" name="Conector reto 6"/>
          <xdr:cNvCxnSpPr/>
        </xdr:nvCxnSpPr>
        <xdr:spPr bwMode="auto">
          <a:xfrm>
            <a:off x="6264597" y="208864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8" name="CaixaDeTexto 15"/>
          <xdr:cNvSpPr txBox="1"/>
        </xdr:nvSpPr>
        <xdr:spPr>
          <a:xfrm>
            <a:off x="6520510" y="1656599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2.000</a:t>
            </a:r>
          </a:p>
        </xdr:txBody>
      </xdr:sp>
      <xdr:sp macro="" textlink="">
        <xdr:nvSpPr>
          <xdr:cNvPr id="9" name="CaixaDeTexto 23"/>
          <xdr:cNvSpPr txBox="1"/>
        </xdr:nvSpPr>
        <xdr:spPr>
          <a:xfrm>
            <a:off x="5042199" y="3203684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10.000</a:t>
            </a:r>
          </a:p>
        </xdr:txBody>
      </xdr:sp>
      <xdr:sp macro="" textlink="">
        <xdr:nvSpPr>
          <xdr:cNvPr id="10" name="CaixaDeTexto 20"/>
          <xdr:cNvSpPr txBox="1"/>
        </xdr:nvSpPr>
        <xdr:spPr>
          <a:xfrm>
            <a:off x="5759412" y="2366636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11" name="CaixaDeTexto 36"/>
          <xdr:cNvSpPr txBox="1"/>
        </xdr:nvSpPr>
        <xdr:spPr>
          <a:xfrm>
            <a:off x="8018522" y="2370366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14</xdr:col>
      <xdr:colOff>235858</xdr:colOff>
      <xdr:row>0</xdr:row>
      <xdr:rowOff>0</xdr:rowOff>
    </xdr:from>
    <xdr:to>
      <xdr:col>20</xdr:col>
      <xdr:colOff>524870</xdr:colOff>
      <xdr:row>11</xdr:row>
      <xdr:rowOff>102082</xdr:rowOff>
    </xdr:to>
    <xdr:grpSp>
      <xdr:nvGrpSpPr>
        <xdr:cNvPr id="12" name="Grupo 11"/>
        <xdr:cNvGrpSpPr/>
      </xdr:nvGrpSpPr>
      <xdr:grpSpPr>
        <a:xfrm>
          <a:off x="9427483" y="0"/>
          <a:ext cx="3962941" cy="2245207"/>
          <a:chOff x="5005844" y="3769277"/>
          <a:chExt cx="3958644" cy="2252011"/>
        </a:xfrm>
      </xdr:grpSpPr>
      <xdr:cxnSp macro="">
        <xdr:nvCxnSpPr>
          <xdr:cNvPr id="13" name="Conector de seta reta 12"/>
          <xdr:cNvCxnSpPr/>
        </xdr:nvCxnSpPr>
        <xdr:spPr bwMode="auto">
          <a:xfrm>
            <a:off x="5759781" y="4890833"/>
            <a:ext cx="0" cy="785291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4" name="Conector reto 13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15" name="Conector de seta reta 14"/>
          <xdr:cNvCxnSpPr/>
        </xdr:nvCxnSpPr>
        <xdr:spPr bwMode="auto">
          <a:xfrm flipV="1">
            <a:off x="6228242" y="457065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6" name="Conector de seta reta 15"/>
          <xdr:cNvCxnSpPr/>
        </xdr:nvCxnSpPr>
        <xdr:spPr bwMode="auto">
          <a:xfrm flipV="1">
            <a:off x="8199175" y="457188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7" name="Conector reto 16"/>
          <xdr:cNvCxnSpPr/>
        </xdr:nvCxnSpPr>
        <xdr:spPr bwMode="auto">
          <a:xfrm>
            <a:off x="6228242" y="457065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18" name="CaixaDeTexto 30"/>
          <xdr:cNvSpPr txBox="1"/>
        </xdr:nvSpPr>
        <xdr:spPr>
          <a:xfrm>
            <a:off x="6484155" y="4138609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4.700</a:t>
            </a:r>
          </a:p>
        </xdr:txBody>
      </xdr:sp>
      <xdr:sp macro="" textlink="">
        <xdr:nvSpPr>
          <xdr:cNvPr id="19" name="CaixaDeTexto 31"/>
          <xdr:cNvSpPr txBox="1"/>
        </xdr:nvSpPr>
        <xdr:spPr>
          <a:xfrm>
            <a:off x="5005844" y="565195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30.000</a:t>
            </a:r>
          </a:p>
        </xdr:txBody>
      </xdr:sp>
      <xdr:cxnSp macro="">
        <xdr:nvCxnSpPr>
          <xdr:cNvPr id="20" name="Conector de seta reta 19"/>
          <xdr:cNvCxnSpPr/>
        </xdr:nvCxnSpPr>
        <xdr:spPr bwMode="auto">
          <a:xfrm flipV="1">
            <a:off x="8199175" y="4138610"/>
            <a:ext cx="0" cy="433277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21" name="CaixaDeTexto 34"/>
          <xdr:cNvSpPr txBox="1"/>
        </xdr:nvSpPr>
        <xdr:spPr>
          <a:xfrm>
            <a:off x="7456614" y="3769277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10.705</a:t>
            </a:r>
          </a:p>
        </xdr:txBody>
      </xdr:sp>
      <xdr:sp macro="" textlink="">
        <xdr:nvSpPr>
          <xdr:cNvPr id="22" name="CaixaDeTexto 37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23" name="CaixaDeTexto 38"/>
          <xdr:cNvSpPr txBox="1"/>
        </xdr:nvSpPr>
        <xdr:spPr>
          <a:xfrm>
            <a:off x="7983238" y="4867735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356861</xdr:colOff>
      <xdr:row>0</xdr:row>
      <xdr:rowOff>171810</xdr:rowOff>
    </xdr:from>
    <xdr:to>
      <xdr:col>12</xdr:col>
      <xdr:colOff>177641</xdr:colOff>
      <xdr:row>7</xdr:row>
      <xdr:rowOff>175649</xdr:rowOff>
    </xdr:to>
    <xdr:grpSp>
      <xdr:nvGrpSpPr>
        <xdr:cNvPr id="2" name="Grupo 1"/>
        <xdr:cNvGrpSpPr/>
      </xdr:nvGrpSpPr>
      <xdr:grpSpPr>
        <a:xfrm>
          <a:off x="4014461" y="171810"/>
          <a:ext cx="3706980" cy="1870739"/>
          <a:chOff x="5052341" y="1906964"/>
          <a:chExt cx="3509514" cy="1275484"/>
        </a:xfrm>
      </xdr:grpSpPr>
      <xdr:cxnSp macro="">
        <xdr:nvCxnSpPr>
          <xdr:cNvPr id="28" name="Conector de seta reta 27"/>
          <xdr:cNvCxnSpPr/>
        </xdr:nvCxnSpPr>
        <xdr:spPr bwMode="auto">
          <a:xfrm flipH="1">
            <a:off x="5796048" y="2408823"/>
            <a:ext cx="88" cy="449548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29" name="Conector reto 28"/>
          <xdr:cNvCxnSpPr/>
        </xdr:nvCxnSpPr>
        <xdr:spPr bwMode="auto">
          <a:xfrm>
            <a:off x="5796136" y="240882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30" name="Conector de seta reta 29"/>
          <xdr:cNvCxnSpPr/>
        </xdr:nvCxnSpPr>
        <xdr:spPr bwMode="auto">
          <a:xfrm flipH="1" flipV="1">
            <a:off x="6262542" y="2242474"/>
            <a:ext cx="2055" cy="166350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31" name="Conector de seta reta 30"/>
          <xdr:cNvCxnSpPr/>
        </xdr:nvCxnSpPr>
        <xdr:spPr bwMode="auto">
          <a:xfrm flipH="1" flipV="1">
            <a:off x="8229930" y="2247482"/>
            <a:ext cx="5600" cy="162571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32" name="Conector reto 31"/>
          <xdr:cNvCxnSpPr/>
        </xdr:nvCxnSpPr>
        <xdr:spPr bwMode="auto">
          <a:xfrm>
            <a:off x="6289950" y="2228851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33" name="CaixaDeTexto 16"/>
          <xdr:cNvSpPr txBox="1"/>
        </xdr:nvSpPr>
        <xdr:spPr>
          <a:xfrm>
            <a:off x="6419098" y="1906964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2.000</a:t>
            </a:r>
          </a:p>
        </xdr:txBody>
      </xdr:sp>
      <xdr:sp macro="" textlink="">
        <xdr:nvSpPr>
          <xdr:cNvPr id="34" name="CaixaDeTexto 17"/>
          <xdr:cNvSpPr txBox="1"/>
        </xdr:nvSpPr>
        <xdr:spPr>
          <a:xfrm>
            <a:off x="5052341" y="281311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10.000</a:t>
            </a:r>
          </a:p>
        </xdr:txBody>
      </xdr:sp>
      <xdr:sp macro="" textlink="">
        <xdr:nvSpPr>
          <xdr:cNvPr id="35" name="CaixaDeTexto 18"/>
          <xdr:cNvSpPr txBox="1"/>
        </xdr:nvSpPr>
        <xdr:spPr>
          <a:xfrm>
            <a:off x="5759412" y="2366636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36" name="CaixaDeTexto 19"/>
          <xdr:cNvSpPr txBox="1"/>
        </xdr:nvSpPr>
        <xdr:spPr>
          <a:xfrm>
            <a:off x="8018522" y="2370366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0</xdr:col>
      <xdr:colOff>25400</xdr:colOff>
      <xdr:row>0</xdr:row>
      <xdr:rowOff>76200</xdr:rowOff>
    </xdr:from>
    <xdr:to>
      <xdr:col>5</xdr:col>
      <xdr:colOff>342900</xdr:colOff>
      <xdr:row>10</xdr:row>
      <xdr:rowOff>97366</xdr:rowOff>
    </xdr:to>
    <xdr:grpSp>
      <xdr:nvGrpSpPr>
        <xdr:cNvPr id="3" name="Grupo 2"/>
        <xdr:cNvGrpSpPr/>
      </xdr:nvGrpSpPr>
      <xdr:grpSpPr>
        <a:xfrm>
          <a:off x="25400" y="76200"/>
          <a:ext cx="3365500" cy="2688166"/>
          <a:chOff x="5005844" y="3769277"/>
          <a:chExt cx="3958644" cy="2252011"/>
        </a:xfrm>
      </xdr:grpSpPr>
      <xdr:cxnSp macro="">
        <xdr:nvCxnSpPr>
          <xdr:cNvPr id="17" name="Conector de seta reta 16"/>
          <xdr:cNvCxnSpPr/>
        </xdr:nvCxnSpPr>
        <xdr:spPr bwMode="auto">
          <a:xfrm>
            <a:off x="5759781" y="4890833"/>
            <a:ext cx="0" cy="785291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8" name="Conector reto 17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19" name="Conector de seta reta 18"/>
          <xdr:cNvCxnSpPr/>
        </xdr:nvCxnSpPr>
        <xdr:spPr bwMode="auto">
          <a:xfrm flipV="1">
            <a:off x="6228242" y="457065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20" name="Conector de seta reta 19"/>
          <xdr:cNvCxnSpPr/>
        </xdr:nvCxnSpPr>
        <xdr:spPr bwMode="auto">
          <a:xfrm flipV="1">
            <a:off x="8199175" y="457188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21" name="Conector reto 20"/>
          <xdr:cNvCxnSpPr/>
        </xdr:nvCxnSpPr>
        <xdr:spPr bwMode="auto">
          <a:xfrm>
            <a:off x="6228242" y="457065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22" name="CaixaDeTexto 26"/>
          <xdr:cNvSpPr txBox="1"/>
        </xdr:nvSpPr>
        <xdr:spPr>
          <a:xfrm>
            <a:off x="6484155" y="4138609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4.700</a:t>
            </a:r>
          </a:p>
        </xdr:txBody>
      </xdr:sp>
      <xdr:sp macro="" textlink="">
        <xdr:nvSpPr>
          <xdr:cNvPr id="23" name="CaixaDeTexto 27"/>
          <xdr:cNvSpPr txBox="1"/>
        </xdr:nvSpPr>
        <xdr:spPr>
          <a:xfrm>
            <a:off x="5005844" y="565195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30.000</a:t>
            </a:r>
          </a:p>
        </xdr:txBody>
      </xdr:sp>
      <xdr:cxnSp macro="">
        <xdr:nvCxnSpPr>
          <xdr:cNvPr id="24" name="Conector de seta reta 23"/>
          <xdr:cNvCxnSpPr/>
        </xdr:nvCxnSpPr>
        <xdr:spPr bwMode="auto">
          <a:xfrm flipV="1">
            <a:off x="8199175" y="4138610"/>
            <a:ext cx="0" cy="433277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25" name="CaixaDeTexto 29"/>
          <xdr:cNvSpPr txBox="1"/>
        </xdr:nvSpPr>
        <xdr:spPr>
          <a:xfrm>
            <a:off x="7456614" y="3769277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10.705</a:t>
            </a:r>
          </a:p>
        </xdr:txBody>
      </xdr:sp>
      <xdr:sp macro="" textlink="">
        <xdr:nvSpPr>
          <xdr:cNvPr id="26" name="CaixaDeTexto 30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27" name="CaixaDeTexto 31"/>
          <xdr:cNvSpPr txBox="1"/>
        </xdr:nvSpPr>
        <xdr:spPr>
          <a:xfrm>
            <a:off x="7983238" y="4867735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6</xdr:col>
      <xdr:colOff>602930</xdr:colOff>
      <xdr:row>8</xdr:row>
      <xdr:rowOff>129916</xdr:rowOff>
    </xdr:from>
    <xdr:to>
      <xdr:col>12</xdr:col>
      <xdr:colOff>209444</xdr:colOff>
      <xdr:row>16</xdr:row>
      <xdr:rowOff>33055</xdr:rowOff>
    </xdr:to>
    <xdr:grpSp>
      <xdr:nvGrpSpPr>
        <xdr:cNvPr id="5" name="Grupo 4"/>
        <xdr:cNvGrpSpPr/>
      </xdr:nvGrpSpPr>
      <xdr:grpSpPr>
        <a:xfrm>
          <a:off x="4260530" y="2263516"/>
          <a:ext cx="3492714" cy="1960539"/>
          <a:chOff x="5436241" y="3961726"/>
          <a:chExt cx="3528247" cy="1469030"/>
        </a:xfrm>
      </xdr:grpSpPr>
      <xdr:cxnSp macro="">
        <xdr:nvCxnSpPr>
          <xdr:cNvPr id="6" name="Conector de seta reta 5"/>
          <xdr:cNvCxnSpPr/>
        </xdr:nvCxnSpPr>
        <xdr:spPr bwMode="auto">
          <a:xfrm flipH="1">
            <a:off x="5745705" y="4890833"/>
            <a:ext cx="14076" cy="371870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7" name="Conector reto 6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8" name="Conector de seta reta 7"/>
          <xdr:cNvCxnSpPr/>
        </xdr:nvCxnSpPr>
        <xdr:spPr bwMode="auto">
          <a:xfrm flipV="1">
            <a:off x="6228242" y="457065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9" name="Conector de seta reta 8"/>
          <xdr:cNvCxnSpPr/>
        </xdr:nvCxnSpPr>
        <xdr:spPr bwMode="auto">
          <a:xfrm flipV="1">
            <a:off x="8199175" y="457188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10" name="Conector reto 9"/>
          <xdr:cNvCxnSpPr/>
        </xdr:nvCxnSpPr>
        <xdr:spPr bwMode="auto">
          <a:xfrm>
            <a:off x="6228242" y="457065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11" name="CaixaDeTexto 38"/>
          <xdr:cNvSpPr txBox="1"/>
        </xdr:nvSpPr>
        <xdr:spPr>
          <a:xfrm>
            <a:off x="6484155" y="4138609"/>
            <a:ext cx="1507874" cy="34158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2.700</a:t>
            </a:r>
          </a:p>
        </xdr:txBody>
      </xdr:sp>
      <xdr:sp macro="" textlink="">
        <xdr:nvSpPr>
          <xdr:cNvPr id="12" name="CaixaDeTexto 39"/>
          <xdr:cNvSpPr txBox="1"/>
        </xdr:nvSpPr>
        <xdr:spPr>
          <a:xfrm>
            <a:off x="5436241" y="5089171"/>
            <a:ext cx="1507874" cy="34158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20.000</a:t>
            </a:r>
          </a:p>
        </xdr:txBody>
      </xdr:sp>
      <xdr:cxnSp macro="">
        <xdr:nvCxnSpPr>
          <xdr:cNvPr id="13" name="Conector de seta reta 12"/>
          <xdr:cNvCxnSpPr/>
        </xdr:nvCxnSpPr>
        <xdr:spPr bwMode="auto">
          <a:xfrm flipH="1" flipV="1">
            <a:off x="8194081" y="4319652"/>
            <a:ext cx="5094" cy="25223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14" name="CaixaDeTexto 41"/>
          <xdr:cNvSpPr txBox="1"/>
        </xdr:nvSpPr>
        <xdr:spPr>
          <a:xfrm>
            <a:off x="7456614" y="396172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10.705</a:t>
            </a:r>
          </a:p>
        </xdr:txBody>
      </xdr:sp>
      <xdr:sp macro="" textlink="">
        <xdr:nvSpPr>
          <xdr:cNvPr id="15" name="CaixaDeTexto 42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16" name="CaixaDeTexto 43"/>
          <xdr:cNvSpPr txBox="1"/>
        </xdr:nvSpPr>
        <xdr:spPr>
          <a:xfrm>
            <a:off x="7983238" y="4867735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4</xdr:col>
      <xdr:colOff>624935</xdr:colOff>
      <xdr:row>3</xdr:row>
      <xdr:rowOff>12140</xdr:rowOff>
    </xdr:from>
    <xdr:to>
      <xdr:col>7</xdr:col>
      <xdr:colOff>70115</xdr:colOff>
      <xdr:row>5</xdr:row>
      <xdr:rowOff>92804</xdr:rowOff>
    </xdr:to>
    <xdr:sp macro="" textlink="">
      <xdr:nvSpPr>
        <xdr:cNvPr id="37" name="CaixaDeTexto 2"/>
        <xdr:cNvSpPr txBox="1"/>
      </xdr:nvSpPr>
      <xdr:spPr>
        <a:xfrm>
          <a:off x="3186102" y="848223"/>
          <a:ext cx="1366055" cy="4510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+mn-cs"/>
            </a:rPr>
            <a:t>-</a:t>
          </a:r>
        </a:p>
      </xdr:txBody>
    </xdr:sp>
    <xdr:clientData/>
  </xdr:twoCellAnchor>
  <xdr:twoCellAnchor>
    <xdr:from>
      <xdr:col>1</xdr:col>
      <xdr:colOff>216419</xdr:colOff>
      <xdr:row>13</xdr:row>
      <xdr:rowOff>85165</xdr:rowOff>
    </xdr:from>
    <xdr:to>
      <xdr:col>3</xdr:col>
      <xdr:colOff>301891</xdr:colOff>
      <xdr:row>15</xdr:row>
      <xdr:rowOff>165830</xdr:rowOff>
    </xdr:to>
    <xdr:sp macro="" textlink="">
      <xdr:nvSpPr>
        <xdr:cNvPr id="38" name="CaixaDeTexto 2"/>
        <xdr:cNvSpPr txBox="1"/>
      </xdr:nvSpPr>
      <xdr:spPr>
        <a:xfrm>
          <a:off x="856711" y="2773332"/>
          <a:ext cx="1366055" cy="4510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+mn-cs"/>
            </a:rPr>
            <a:t>=</a:t>
          </a:r>
        </a:p>
      </xdr:txBody>
    </xdr:sp>
    <xdr:clientData/>
  </xdr:twoCellAnchor>
  <xdr:twoCellAnchor>
    <xdr:from>
      <xdr:col>0</xdr:col>
      <xdr:colOff>167409</xdr:colOff>
      <xdr:row>24</xdr:row>
      <xdr:rowOff>104775</xdr:rowOff>
    </xdr:from>
    <xdr:to>
      <xdr:col>5</xdr:col>
      <xdr:colOff>484909</xdr:colOff>
      <xdr:row>35</xdr:row>
      <xdr:rowOff>23475</xdr:rowOff>
    </xdr:to>
    <xdr:grpSp>
      <xdr:nvGrpSpPr>
        <xdr:cNvPr id="44" name="Grupo 43"/>
        <xdr:cNvGrpSpPr/>
      </xdr:nvGrpSpPr>
      <xdr:grpSpPr>
        <a:xfrm>
          <a:off x="167409" y="6153150"/>
          <a:ext cx="3365500" cy="2014200"/>
          <a:chOff x="5005844" y="3769277"/>
          <a:chExt cx="3958644" cy="2252011"/>
        </a:xfrm>
      </xdr:grpSpPr>
      <xdr:cxnSp macro="">
        <xdr:nvCxnSpPr>
          <xdr:cNvPr id="45" name="Conector de seta reta 44"/>
          <xdr:cNvCxnSpPr/>
        </xdr:nvCxnSpPr>
        <xdr:spPr bwMode="auto">
          <a:xfrm>
            <a:off x="5759781" y="4890833"/>
            <a:ext cx="0" cy="785291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46" name="Conector reto 45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47" name="Conector de seta reta 46"/>
          <xdr:cNvCxnSpPr/>
        </xdr:nvCxnSpPr>
        <xdr:spPr bwMode="auto">
          <a:xfrm flipV="1">
            <a:off x="6228242" y="457065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48" name="Conector de seta reta 47"/>
          <xdr:cNvCxnSpPr/>
        </xdr:nvCxnSpPr>
        <xdr:spPr bwMode="auto">
          <a:xfrm flipV="1">
            <a:off x="8199175" y="457188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49" name="Conector reto 48"/>
          <xdr:cNvCxnSpPr/>
        </xdr:nvCxnSpPr>
        <xdr:spPr bwMode="auto">
          <a:xfrm>
            <a:off x="6228242" y="457065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50" name="CaixaDeTexto 26"/>
          <xdr:cNvSpPr txBox="1"/>
        </xdr:nvSpPr>
        <xdr:spPr>
          <a:xfrm>
            <a:off x="6484155" y="4138609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4.700</a:t>
            </a:r>
          </a:p>
        </xdr:txBody>
      </xdr:sp>
      <xdr:sp macro="" textlink="">
        <xdr:nvSpPr>
          <xdr:cNvPr id="51" name="CaixaDeTexto 27"/>
          <xdr:cNvSpPr txBox="1"/>
        </xdr:nvSpPr>
        <xdr:spPr>
          <a:xfrm>
            <a:off x="5005844" y="565195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30.000</a:t>
            </a:r>
          </a:p>
        </xdr:txBody>
      </xdr:sp>
      <xdr:cxnSp macro="">
        <xdr:nvCxnSpPr>
          <xdr:cNvPr id="52" name="Conector de seta reta 51"/>
          <xdr:cNvCxnSpPr/>
        </xdr:nvCxnSpPr>
        <xdr:spPr bwMode="auto">
          <a:xfrm flipV="1">
            <a:off x="8199175" y="4138610"/>
            <a:ext cx="0" cy="433277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53" name="CaixaDeTexto 29"/>
          <xdr:cNvSpPr txBox="1"/>
        </xdr:nvSpPr>
        <xdr:spPr>
          <a:xfrm>
            <a:off x="7456614" y="3769277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10.705</a:t>
            </a:r>
          </a:p>
        </xdr:txBody>
      </xdr:sp>
      <xdr:sp macro="" textlink="">
        <xdr:nvSpPr>
          <xdr:cNvPr id="54" name="CaixaDeTexto 30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55" name="CaixaDeTexto 31"/>
          <xdr:cNvSpPr txBox="1"/>
        </xdr:nvSpPr>
        <xdr:spPr>
          <a:xfrm>
            <a:off x="7983238" y="4867735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5</xdr:col>
      <xdr:colOff>194069</xdr:colOff>
      <xdr:row>26</xdr:row>
      <xdr:rowOff>156223</xdr:rowOff>
    </xdr:from>
    <xdr:to>
      <xdr:col>11</xdr:col>
      <xdr:colOff>14850</xdr:colOff>
      <xdr:row>34</xdr:row>
      <xdr:rowOff>27289</xdr:rowOff>
    </xdr:to>
    <xdr:grpSp>
      <xdr:nvGrpSpPr>
        <xdr:cNvPr id="56" name="Grupo 55"/>
        <xdr:cNvGrpSpPr/>
      </xdr:nvGrpSpPr>
      <xdr:grpSpPr>
        <a:xfrm>
          <a:off x="3242069" y="6585598"/>
          <a:ext cx="3478381" cy="1395066"/>
          <a:chOff x="5052341" y="1906964"/>
          <a:chExt cx="3509514" cy="1275484"/>
        </a:xfrm>
      </xdr:grpSpPr>
      <xdr:cxnSp macro="">
        <xdr:nvCxnSpPr>
          <xdr:cNvPr id="57" name="Conector de seta reta 56"/>
          <xdr:cNvCxnSpPr/>
        </xdr:nvCxnSpPr>
        <xdr:spPr bwMode="auto">
          <a:xfrm flipH="1">
            <a:off x="5796048" y="2408823"/>
            <a:ext cx="88" cy="449548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58" name="Conector reto 57"/>
          <xdr:cNvCxnSpPr/>
        </xdr:nvCxnSpPr>
        <xdr:spPr bwMode="auto">
          <a:xfrm>
            <a:off x="5796136" y="240882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59" name="Conector de seta reta 58"/>
          <xdr:cNvCxnSpPr/>
        </xdr:nvCxnSpPr>
        <xdr:spPr bwMode="auto">
          <a:xfrm flipH="1" flipV="1">
            <a:off x="6262542" y="2242474"/>
            <a:ext cx="2055" cy="166350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60" name="Conector de seta reta 59"/>
          <xdr:cNvCxnSpPr/>
        </xdr:nvCxnSpPr>
        <xdr:spPr bwMode="auto">
          <a:xfrm flipH="1" flipV="1">
            <a:off x="8229930" y="2247482"/>
            <a:ext cx="5600" cy="162571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61" name="Conector reto 60"/>
          <xdr:cNvCxnSpPr/>
        </xdr:nvCxnSpPr>
        <xdr:spPr bwMode="auto">
          <a:xfrm>
            <a:off x="6289950" y="2228851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62" name="CaixaDeTexto 16"/>
          <xdr:cNvSpPr txBox="1"/>
        </xdr:nvSpPr>
        <xdr:spPr>
          <a:xfrm>
            <a:off x="6419098" y="1906964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2.000</a:t>
            </a:r>
          </a:p>
        </xdr:txBody>
      </xdr:sp>
      <xdr:sp macro="" textlink="">
        <xdr:nvSpPr>
          <xdr:cNvPr id="63" name="CaixaDeTexto 17"/>
          <xdr:cNvSpPr txBox="1"/>
        </xdr:nvSpPr>
        <xdr:spPr>
          <a:xfrm>
            <a:off x="5052341" y="281311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10.000</a:t>
            </a:r>
          </a:p>
        </xdr:txBody>
      </xdr:sp>
      <xdr:sp macro="" textlink="">
        <xdr:nvSpPr>
          <xdr:cNvPr id="64" name="CaixaDeTexto 18"/>
          <xdr:cNvSpPr txBox="1"/>
        </xdr:nvSpPr>
        <xdr:spPr>
          <a:xfrm>
            <a:off x="5759412" y="2366636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65" name="CaixaDeTexto 19"/>
          <xdr:cNvSpPr txBox="1"/>
        </xdr:nvSpPr>
        <xdr:spPr>
          <a:xfrm>
            <a:off x="8018522" y="2370366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4</xdr:col>
      <xdr:colOff>624935</xdr:colOff>
      <xdr:row>3</xdr:row>
      <xdr:rowOff>5405</xdr:rowOff>
    </xdr:from>
    <xdr:to>
      <xdr:col>7</xdr:col>
      <xdr:colOff>70115</xdr:colOff>
      <xdr:row>5</xdr:row>
      <xdr:rowOff>86069</xdr:rowOff>
    </xdr:to>
    <xdr:sp macro="" textlink="">
      <xdr:nvSpPr>
        <xdr:cNvPr id="78" name="CaixaDeTexto 2"/>
        <xdr:cNvSpPr txBox="1"/>
      </xdr:nvSpPr>
      <xdr:spPr>
        <a:xfrm>
          <a:off x="3188026" y="848223"/>
          <a:ext cx="1367498" cy="4501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+mn-cs"/>
            </a:rPr>
            <a:t>-</a:t>
          </a:r>
        </a:p>
      </xdr:txBody>
    </xdr:sp>
    <xdr:clientData/>
  </xdr:twoCellAnchor>
  <xdr:twoCellAnchor>
    <xdr:from>
      <xdr:col>10</xdr:col>
      <xdr:colOff>359898</xdr:colOff>
      <xdr:row>24</xdr:row>
      <xdr:rowOff>41207</xdr:rowOff>
    </xdr:from>
    <xdr:to>
      <xdr:col>15</xdr:col>
      <xdr:colOff>1299335</xdr:colOff>
      <xdr:row>34</xdr:row>
      <xdr:rowOff>26895</xdr:rowOff>
    </xdr:to>
    <xdr:grpSp>
      <xdr:nvGrpSpPr>
        <xdr:cNvPr id="79" name="Grupo 78"/>
        <xdr:cNvGrpSpPr/>
      </xdr:nvGrpSpPr>
      <xdr:grpSpPr>
        <a:xfrm>
          <a:off x="6455898" y="6089582"/>
          <a:ext cx="4216037" cy="1890688"/>
          <a:chOff x="5005844" y="3961726"/>
          <a:chExt cx="3958644" cy="1745893"/>
        </a:xfrm>
      </xdr:grpSpPr>
      <xdr:cxnSp macro="">
        <xdr:nvCxnSpPr>
          <xdr:cNvPr id="80" name="Conector de seta reta 79"/>
          <xdr:cNvCxnSpPr/>
        </xdr:nvCxnSpPr>
        <xdr:spPr bwMode="auto">
          <a:xfrm>
            <a:off x="5759781" y="4890833"/>
            <a:ext cx="1985" cy="512026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81" name="Conector reto 80"/>
          <xdr:cNvCxnSpPr/>
        </xdr:nvCxnSpPr>
        <xdr:spPr bwMode="auto">
          <a:xfrm>
            <a:off x="5759781" y="489083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82" name="Conector de seta reta 81"/>
          <xdr:cNvCxnSpPr/>
        </xdr:nvCxnSpPr>
        <xdr:spPr bwMode="auto">
          <a:xfrm flipV="1">
            <a:off x="6228242" y="4570657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83" name="Conector de seta reta 82"/>
          <xdr:cNvCxnSpPr/>
        </xdr:nvCxnSpPr>
        <xdr:spPr bwMode="auto">
          <a:xfrm flipV="1">
            <a:off x="8199175" y="4571886"/>
            <a:ext cx="0" cy="32017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84" name="Conector reto 83"/>
          <xdr:cNvCxnSpPr/>
        </xdr:nvCxnSpPr>
        <xdr:spPr bwMode="auto">
          <a:xfrm>
            <a:off x="6228242" y="4570657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85" name="CaixaDeTexto 38"/>
          <xdr:cNvSpPr txBox="1"/>
        </xdr:nvSpPr>
        <xdr:spPr>
          <a:xfrm>
            <a:off x="6484155" y="4138609"/>
            <a:ext cx="1507874" cy="34158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2.700</a:t>
            </a:r>
          </a:p>
        </xdr:txBody>
      </xdr:sp>
      <xdr:sp macro="" textlink="">
        <xdr:nvSpPr>
          <xdr:cNvPr id="86" name="CaixaDeTexto 39"/>
          <xdr:cNvSpPr txBox="1"/>
        </xdr:nvSpPr>
        <xdr:spPr>
          <a:xfrm>
            <a:off x="5005844" y="5366034"/>
            <a:ext cx="1507874" cy="34158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20.000</a:t>
            </a:r>
          </a:p>
        </xdr:txBody>
      </xdr:sp>
      <xdr:cxnSp macro="">
        <xdr:nvCxnSpPr>
          <xdr:cNvPr id="87" name="Conector de seta reta 86"/>
          <xdr:cNvCxnSpPr/>
        </xdr:nvCxnSpPr>
        <xdr:spPr bwMode="auto">
          <a:xfrm flipH="1" flipV="1">
            <a:off x="8194081" y="4319652"/>
            <a:ext cx="5094" cy="252236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sp macro="" textlink="">
        <xdr:nvSpPr>
          <xdr:cNvPr id="88" name="CaixaDeTexto 41"/>
          <xdr:cNvSpPr txBox="1"/>
        </xdr:nvSpPr>
        <xdr:spPr>
          <a:xfrm>
            <a:off x="7456614" y="396172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10.705</a:t>
            </a:r>
          </a:p>
        </xdr:txBody>
      </xdr:sp>
      <xdr:sp macro="" textlink="">
        <xdr:nvSpPr>
          <xdr:cNvPr id="89" name="CaixaDeTexto 42"/>
          <xdr:cNvSpPr txBox="1"/>
        </xdr:nvSpPr>
        <xdr:spPr>
          <a:xfrm>
            <a:off x="5724128" y="4864005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90" name="CaixaDeTexto 43"/>
          <xdr:cNvSpPr txBox="1"/>
        </xdr:nvSpPr>
        <xdr:spPr>
          <a:xfrm>
            <a:off x="7983238" y="4867735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10</xdr:col>
      <xdr:colOff>142336</xdr:colOff>
      <xdr:row>27</xdr:row>
      <xdr:rowOff>123169</xdr:rowOff>
    </xdr:from>
    <xdr:to>
      <xdr:col>12</xdr:col>
      <xdr:colOff>228288</xdr:colOff>
      <xdr:row>30</xdr:row>
      <xdr:rowOff>19106</xdr:rowOff>
    </xdr:to>
    <xdr:sp macro="" textlink="">
      <xdr:nvSpPr>
        <xdr:cNvPr id="91" name="CaixaDeTexto 2"/>
        <xdr:cNvSpPr txBox="1"/>
      </xdr:nvSpPr>
      <xdr:spPr>
        <a:xfrm>
          <a:off x="6550063" y="5399442"/>
          <a:ext cx="1367498" cy="4501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+mn-cs"/>
            </a:rPr>
            <a:t>+</a:t>
          </a:r>
        </a:p>
      </xdr:txBody>
    </xdr:sp>
    <xdr:clientData/>
  </xdr:twoCellAnchor>
  <xdr:twoCellAnchor>
    <xdr:from>
      <xdr:col>4</xdr:col>
      <xdr:colOff>410190</xdr:colOff>
      <xdr:row>27</xdr:row>
      <xdr:rowOff>137024</xdr:rowOff>
    </xdr:from>
    <xdr:to>
      <xdr:col>6</xdr:col>
      <xdr:colOff>496143</xdr:colOff>
      <xdr:row>30</xdr:row>
      <xdr:rowOff>32961</xdr:rowOff>
    </xdr:to>
    <xdr:sp macro="" textlink="">
      <xdr:nvSpPr>
        <xdr:cNvPr id="92" name="CaixaDeTexto 2"/>
        <xdr:cNvSpPr txBox="1"/>
      </xdr:nvSpPr>
      <xdr:spPr>
        <a:xfrm>
          <a:off x="2973281" y="5413297"/>
          <a:ext cx="1367498" cy="4501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+mn-cs"/>
            </a:rPr>
            <a:t>=</a:t>
          </a:r>
        </a:p>
      </xdr:txBody>
    </xdr:sp>
    <xdr:clientData/>
  </xdr:twoCellAnchor>
  <xdr:twoCellAnchor>
    <xdr:from>
      <xdr:col>2</xdr:col>
      <xdr:colOff>398319</xdr:colOff>
      <xdr:row>42</xdr:row>
      <xdr:rowOff>69632</xdr:rowOff>
    </xdr:from>
    <xdr:to>
      <xdr:col>8</xdr:col>
      <xdr:colOff>219099</xdr:colOff>
      <xdr:row>49</xdr:row>
      <xdr:rowOff>125426</xdr:rowOff>
    </xdr:to>
    <xdr:grpSp>
      <xdr:nvGrpSpPr>
        <xdr:cNvPr id="93" name="Grupo 92"/>
        <xdr:cNvGrpSpPr/>
      </xdr:nvGrpSpPr>
      <xdr:grpSpPr>
        <a:xfrm>
          <a:off x="1617519" y="9547007"/>
          <a:ext cx="3478380" cy="1494069"/>
          <a:chOff x="5052341" y="1906964"/>
          <a:chExt cx="3509514" cy="1275484"/>
        </a:xfrm>
      </xdr:grpSpPr>
      <xdr:cxnSp macro="">
        <xdr:nvCxnSpPr>
          <xdr:cNvPr id="94" name="Conector de seta reta 93"/>
          <xdr:cNvCxnSpPr/>
        </xdr:nvCxnSpPr>
        <xdr:spPr bwMode="auto">
          <a:xfrm flipH="1">
            <a:off x="5796048" y="2408823"/>
            <a:ext cx="88" cy="449548"/>
          </a:xfrm>
          <a:prstGeom prst="straightConnector1">
            <a:avLst/>
          </a:prstGeom>
          <a:noFill/>
          <a:ln w="25400" cap="flat" cmpd="sng" algn="ctr">
            <a:solidFill>
              <a:srgbClr val="FF0000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95" name="Conector reto 94"/>
          <xdr:cNvCxnSpPr/>
        </xdr:nvCxnSpPr>
        <xdr:spPr bwMode="auto">
          <a:xfrm>
            <a:off x="5796136" y="2408823"/>
            <a:ext cx="2448272" cy="0"/>
          </a:xfrm>
          <a:prstGeom prst="line">
            <a:avLst/>
          </a:prstGeom>
          <a:noFill/>
          <a:ln w="25400" cap="flat" cmpd="sng" algn="ctr">
            <a:solidFill>
              <a:schemeClr val="tx1"/>
            </a:solidFill>
            <a:prstDash val="solid"/>
            <a:round/>
            <a:headEnd type="none" w="sm" len="sm"/>
            <a:tailEnd type="none" w="sm" len="sm"/>
          </a:ln>
          <a:effectLst/>
        </xdr:spPr>
      </xdr:cxnSp>
      <xdr:cxnSp macro="">
        <xdr:nvCxnSpPr>
          <xdr:cNvPr id="96" name="Conector de seta reta 95"/>
          <xdr:cNvCxnSpPr/>
        </xdr:nvCxnSpPr>
        <xdr:spPr bwMode="auto">
          <a:xfrm flipH="1" flipV="1">
            <a:off x="6262542" y="2242474"/>
            <a:ext cx="2055" cy="166350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97" name="Conector de seta reta 96"/>
          <xdr:cNvCxnSpPr/>
        </xdr:nvCxnSpPr>
        <xdr:spPr bwMode="auto">
          <a:xfrm flipH="1" flipV="1">
            <a:off x="8229930" y="2247482"/>
            <a:ext cx="5600" cy="162571"/>
          </a:xfrm>
          <a:prstGeom prst="straightConnector1">
            <a:avLst/>
          </a:prstGeom>
          <a:noFill/>
          <a:ln w="25400" cap="flat" cmpd="sng" algn="ctr">
            <a:solidFill>
              <a:srgbClr val="0000FF"/>
            </a:solidFill>
            <a:prstDash val="solid"/>
            <a:round/>
            <a:headEnd type="none" w="sm" len="sm"/>
            <a:tailEnd type="arrow"/>
          </a:ln>
          <a:effectLst/>
        </xdr:spPr>
      </xdr:cxnSp>
      <xdr:cxnSp macro="">
        <xdr:nvCxnSpPr>
          <xdr:cNvPr id="98" name="Conector reto 97"/>
          <xdr:cNvCxnSpPr/>
        </xdr:nvCxnSpPr>
        <xdr:spPr bwMode="auto">
          <a:xfrm>
            <a:off x="6289950" y="2228851"/>
            <a:ext cx="1970933" cy="1229"/>
          </a:xfrm>
          <a:prstGeom prst="line">
            <a:avLst/>
          </a:prstGeom>
          <a:noFill/>
          <a:ln w="19050" cap="flat" cmpd="sng" algn="ctr">
            <a:solidFill>
              <a:schemeClr val="tx1"/>
            </a:solidFill>
            <a:prstDash val="dash"/>
            <a:round/>
            <a:headEnd type="none" w="sm" len="sm"/>
            <a:tailEnd type="none" w="sm" len="sm"/>
          </a:ln>
          <a:effectLst/>
        </xdr:spPr>
      </xdr:cxnSp>
      <xdr:sp macro="" textlink="">
        <xdr:nvSpPr>
          <xdr:cNvPr id="99" name="CaixaDeTexto 16"/>
          <xdr:cNvSpPr txBox="1"/>
        </xdr:nvSpPr>
        <xdr:spPr>
          <a:xfrm>
            <a:off x="6419098" y="1906964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2.000</a:t>
            </a:r>
          </a:p>
        </xdr:txBody>
      </xdr:sp>
      <xdr:sp macro="" textlink="">
        <xdr:nvSpPr>
          <xdr:cNvPr id="100" name="CaixaDeTexto 17"/>
          <xdr:cNvSpPr txBox="1"/>
        </xdr:nvSpPr>
        <xdr:spPr>
          <a:xfrm>
            <a:off x="5052341" y="2813116"/>
            <a:ext cx="150787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sz="1800" b="1">
                <a:solidFill>
                  <a:srgbClr val="0000FF"/>
                </a:solidFill>
                <a:latin typeface="+mj-lt"/>
              </a:rPr>
              <a:t>10.000</a:t>
            </a:r>
          </a:p>
        </xdr:txBody>
      </xdr:sp>
      <xdr:sp macro="" textlink="">
        <xdr:nvSpPr>
          <xdr:cNvPr id="101" name="CaixaDeTexto 18"/>
          <xdr:cNvSpPr txBox="1"/>
        </xdr:nvSpPr>
        <xdr:spPr>
          <a:xfrm>
            <a:off x="5759412" y="2366636"/>
            <a:ext cx="270504" cy="37240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0</a:t>
            </a:r>
          </a:p>
        </xdr:txBody>
      </xdr:sp>
      <xdr:sp macro="" textlink="">
        <xdr:nvSpPr>
          <xdr:cNvPr id="102" name="CaixaDeTexto 19"/>
          <xdr:cNvSpPr txBox="1"/>
        </xdr:nvSpPr>
        <xdr:spPr>
          <a:xfrm>
            <a:off x="8018522" y="2370366"/>
            <a:ext cx="54333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sz="1600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0</xdr:col>
      <xdr:colOff>142334</xdr:colOff>
      <xdr:row>36</xdr:row>
      <xdr:rowOff>25031</xdr:rowOff>
    </xdr:from>
    <xdr:to>
      <xdr:col>3</xdr:col>
      <xdr:colOff>271318</xdr:colOff>
      <xdr:row>38</xdr:row>
      <xdr:rowOff>123589</xdr:rowOff>
    </xdr:to>
    <xdr:sp macro="" textlink="">
      <xdr:nvSpPr>
        <xdr:cNvPr id="103" name="CaixaDeTexto 2"/>
        <xdr:cNvSpPr txBox="1"/>
      </xdr:nvSpPr>
      <xdr:spPr>
        <a:xfrm>
          <a:off x="142334" y="6963849"/>
          <a:ext cx="2051302" cy="4680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TIR = 12%</a:t>
          </a:r>
        </a:p>
      </xdr:txBody>
    </xdr:sp>
    <xdr:clientData/>
  </xdr:twoCellAnchor>
  <xdr:twoCellAnchor>
    <xdr:from>
      <xdr:col>6</xdr:col>
      <xdr:colOff>141179</xdr:colOff>
      <xdr:row>35</xdr:row>
      <xdr:rowOff>153763</xdr:rowOff>
    </xdr:from>
    <xdr:to>
      <xdr:col>9</xdr:col>
      <xdr:colOff>270163</xdr:colOff>
      <xdr:row>38</xdr:row>
      <xdr:rowOff>68171</xdr:rowOff>
    </xdr:to>
    <xdr:sp macro="" textlink="">
      <xdr:nvSpPr>
        <xdr:cNvPr id="104" name="CaixaDeTexto 2"/>
        <xdr:cNvSpPr txBox="1"/>
      </xdr:nvSpPr>
      <xdr:spPr>
        <a:xfrm>
          <a:off x="3989279" y="7837263"/>
          <a:ext cx="2053034" cy="4668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TIR = 15,10%</a:t>
          </a:r>
        </a:p>
      </xdr:txBody>
    </xdr:sp>
    <xdr:clientData/>
  </xdr:twoCellAnchor>
  <xdr:twoCellAnchor>
    <xdr:from>
      <xdr:col>11</xdr:col>
      <xdr:colOff>520446</xdr:colOff>
      <xdr:row>35</xdr:row>
      <xdr:rowOff>116239</xdr:rowOff>
    </xdr:from>
    <xdr:to>
      <xdr:col>15</xdr:col>
      <xdr:colOff>742949</xdr:colOff>
      <xdr:row>38</xdr:row>
      <xdr:rowOff>30647</xdr:rowOff>
    </xdr:to>
    <xdr:sp macro="" textlink="">
      <xdr:nvSpPr>
        <xdr:cNvPr id="105" name="CaixaDeTexto 2"/>
        <xdr:cNvSpPr txBox="1"/>
      </xdr:nvSpPr>
      <xdr:spPr>
        <a:xfrm>
          <a:off x="7226046" y="8260114"/>
          <a:ext cx="2889503" cy="485908"/>
        </a:xfrm>
        <a:prstGeom prst="rect">
          <a:avLst/>
        </a:prstGeom>
        <a:solidFill>
          <a:srgbClr val="92D050"/>
        </a:solidFill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TIRinc = 10,68% </a:t>
          </a:r>
        </a:p>
      </xdr:txBody>
    </xdr:sp>
    <xdr:clientData/>
  </xdr:twoCellAnchor>
  <xdr:twoCellAnchor>
    <xdr:from>
      <xdr:col>8</xdr:col>
      <xdr:colOff>138872</xdr:colOff>
      <xdr:row>43</xdr:row>
      <xdr:rowOff>73524</xdr:rowOff>
    </xdr:from>
    <xdr:to>
      <xdr:col>10</xdr:col>
      <xdr:colOff>224825</xdr:colOff>
      <xdr:row>45</xdr:row>
      <xdr:rowOff>154188</xdr:rowOff>
    </xdr:to>
    <xdr:sp macro="" textlink="">
      <xdr:nvSpPr>
        <xdr:cNvPr id="106" name="CaixaDeTexto 2"/>
        <xdr:cNvSpPr txBox="1"/>
      </xdr:nvSpPr>
      <xdr:spPr>
        <a:xfrm>
          <a:off x="5265054" y="8305433"/>
          <a:ext cx="1367498" cy="4501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+mn-cs"/>
            </a:rPr>
            <a:t>+</a:t>
          </a:r>
        </a:p>
      </xdr:txBody>
    </xdr:sp>
    <xdr:clientData/>
  </xdr:twoCellAnchor>
  <xdr:twoCellAnchor>
    <xdr:from>
      <xdr:col>10</xdr:col>
      <xdr:colOff>447136</xdr:colOff>
      <xdr:row>43</xdr:row>
      <xdr:rowOff>133560</xdr:rowOff>
    </xdr:from>
    <xdr:to>
      <xdr:col>12</xdr:col>
      <xdr:colOff>290634</xdr:colOff>
      <xdr:row>46</xdr:row>
      <xdr:rowOff>47391</xdr:rowOff>
    </xdr:to>
    <xdr:sp macro="" textlink="">
      <xdr:nvSpPr>
        <xdr:cNvPr id="107" name="CaixaDeTexto 2"/>
        <xdr:cNvSpPr txBox="1"/>
      </xdr:nvSpPr>
      <xdr:spPr>
        <a:xfrm>
          <a:off x="6854863" y="8365469"/>
          <a:ext cx="1367498" cy="4680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rgbClr val="0000FF"/>
              </a:solidFill>
              <a:latin typeface="+mn-lt"/>
              <a:ea typeface="+mn-ea"/>
              <a:cs typeface="+mn-cs"/>
            </a:rPr>
            <a:t>20.000</a:t>
          </a:r>
        </a:p>
      </xdr:txBody>
    </xdr:sp>
    <xdr:clientData/>
  </xdr:twoCellAnchor>
  <xdr:twoCellAnchor>
    <xdr:from>
      <xdr:col>3</xdr:col>
      <xdr:colOff>574135</xdr:colOff>
      <xdr:row>49</xdr:row>
      <xdr:rowOff>145104</xdr:rowOff>
    </xdr:from>
    <xdr:to>
      <xdr:col>7</xdr:col>
      <xdr:colOff>62346</xdr:colOff>
      <xdr:row>52</xdr:row>
      <xdr:rowOff>58935</xdr:rowOff>
    </xdr:to>
    <xdr:sp macro="" textlink="">
      <xdr:nvSpPr>
        <xdr:cNvPr id="108" name="CaixaDeTexto 2"/>
        <xdr:cNvSpPr txBox="1"/>
      </xdr:nvSpPr>
      <xdr:spPr>
        <a:xfrm>
          <a:off x="2496453" y="9485377"/>
          <a:ext cx="2051302" cy="4680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TIR = 15,10%</a:t>
          </a:r>
        </a:p>
      </xdr:txBody>
    </xdr:sp>
    <xdr:clientData/>
  </xdr:twoCellAnchor>
  <xdr:twoCellAnchor>
    <xdr:from>
      <xdr:col>10</xdr:col>
      <xdr:colOff>10717</xdr:colOff>
      <xdr:row>49</xdr:row>
      <xdr:rowOff>60822</xdr:rowOff>
    </xdr:from>
    <xdr:to>
      <xdr:col>12</xdr:col>
      <xdr:colOff>538019</xdr:colOff>
      <xdr:row>51</xdr:row>
      <xdr:rowOff>159381</xdr:rowOff>
    </xdr:to>
    <xdr:sp macro="" textlink="">
      <xdr:nvSpPr>
        <xdr:cNvPr id="109" name="CaixaDeTexto 2"/>
        <xdr:cNvSpPr txBox="1"/>
      </xdr:nvSpPr>
      <xdr:spPr>
        <a:xfrm>
          <a:off x="6418444" y="9401095"/>
          <a:ext cx="2051302" cy="4680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fontAlgn="base">
            <a:spcBef>
              <a:spcPct val="0"/>
            </a:spcBef>
            <a:spcAft>
              <a:spcPct val="0"/>
            </a:spcAft>
          </a:pPr>
          <a:r>
            <a:rPr lang="pt-BR" sz="2400" b="1" u="none" kern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TMA = 8%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450452</xdr:colOff>
      <xdr:row>0</xdr:row>
      <xdr:rowOff>17463</xdr:rowOff>
    </xdr:from>
    <xdr:to>
      <xdr:col>14</xdr:col>
      <xdr:colOff>521889</xdr:colOff>
      <xdr:row>15</xdr:row>
      <xdr:rowOff>22225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N66"/>
  <sheetViews>
    <sheetView topLeftCell="E1" zoomScaleNormal="100" workbookViewId="0">
      <selection activeCell="P14" sqref="P14"/>
    </sheetView>
  </sheetViews>
  <sheetFormatPr defaultColWidth="9.140625" defaultRowHeight="23.25" x14ac:dyDescent="0.35"/>
  <cols>
    <col min="1" max="11" width="9.140625" style="12"/>
    <col min="12" max="12" width="35.140625" style="12" customWidth="1"/>
    <col min="13" max="13" width="30.140625" style="12" bestFit="1" customWidth="1"/>
    <col min="14" max="14" width="18" style="12" bestFit="1" customWidth="1"/>
    <col min="15" max="15" width="20.5703125" style="12" customWidth="1"/>
    <col min="16" max="16384" width="9.140625" style="12"/>
  </cols>
  <sheetData>
    <row r="1" spans="9:14" s="84" customFormat="1" x14ac:dyDescent="0.35"/>
    <row r="2" spans="9:14" x14ac:dyDescent="0.35">
      <c r="L2" s="92" t="s">
        <v>46</v>
      </c>
      <c r="M2" s="92"/>
    </row>
    <row r="3" spans="9:14" x14ac:dyDescent="0.35">
      <c r="L3" s="34" t="s">
        <v>42</v>
      </c>
      <c r="M3" s="39">
        <f>4690000*4.5*0.85</f>
        <v>17939250</v>
      </c>
      <c r="N3" s="12" t="s">
        <v>53</v>
      </c>
    </row>
    <row r="4" spans="9:14" x14ac:dyDescent="0.35">
      <c r="L4" s="34" t="s">
        <v>17</v>
      </c>
      <c r="M4" s="40">
        <v>0.18</v>
      </c>
      <c r="N4" s="12" t="s">
        <v>5</v>
      </c>
    </row>
    <row r="5" spans="9:14" x14ac:dyDescent="0.35">
      <c r="L5" s="34" t="s">
        <v>15</v>
      </c>
      <c r="M5" s="34">
        <v>50</v>
      </c>
      <c r="N5" s="12" t="s">
        <v>33</v>
      </c>
    </row>
    <row r="7" spans="9:14" x14ac:dyDescent="0.35">
      <c r="L7" s="34" t="s">
        <v>54</v>
      </c>
      <c r="M7" s="41">
        <f>-PV(M4,M5,M3)</f>
        <v>99637123.51816915</v>
      </c>
      <c r="N7" s="115"/>
    </row>
    <row r="8" spans="9:14" x14ac:dyDescent="0.35">
      <c r="L8" s="34" t="s">
        <v>20</v>
      </c>
      <c r="M8" s="42">
        <v>-155000000</v>
      </c>
    </row>
    <row r="9" spans="9:14" x14ac:dyDescent="0.35">
      <c r="L9" s="54" t="s">
        <v>6</v>
      </c>
      <c r="M9" s="41">
        <f>M7+M8</f>
        <v>-55362876.48183085</v>
      </c>
      <c r="N9" s="76" t="s">
        <v>55</v>
      </c>
    </row>
    <row r="11" spans="9:14" x14ac:dyDescent="0.35">
      <c r="L11" s="92" t="s">
        <v>47</v>
      </c>
      <c r="M11" s="92"/>
    </row>
    <row r="12" spans="9:14" x14ac:dyDescent="0.35">
      <c r="L12" s="34" t="s">
        <v>9</v>
      </c>
      <c r="M12" s="118">
        <f>IRR(M16:M66)</f>
        <v>0.11524161900568708</v>
      </c>
      <c r="N12" s="119" t="s">
        <v>55</v>
      </c>
    </row>
    <row r="13" spans="9:14" x14ac:dyDescent="0.35">
      <c r="L13" s="34" t="s">
        <v>8</v>
      </c>
      <c r="M13" s="41">
        <f>-PMT(M4,L66,M14)</f>
        <v>-9967855.8237941954</v>
      </c>
      <c r="N13" s="119"/>
    </row>
    <row r="14" spans="9:14" x14ac:dyDescent="0.35">
      <c r="I14" s="116"/>
      <c r="J14" s="116"/>
      <c r="K14" s="120"/>
      <c r="L14" s="121" t="s">
        <v>6</v>
      </c>
      <c r="M14" s="52">
        <f>NPV(M4,M17:M66)+M16</f>
        <v>-55362876.481830835</v>
      </c>
      <c r="N14" s="119"/>
    </row>
    <row r="15" spans="9:14" x14ac:dyDescent="0.35">
      <c r="L15" s="34" t="s">
        <v>2</v>
      </c>
      <c r="M15" s="34" t="s">
        <v>3</v>
      </c>
    </row>
    <row r="16" spans="9:14" x14ac:dyDescent="0.35">
      <c r="L16" s="34">
        <v>0</v>
      </c>
      <c r="M16" s="41">
        <f>M8</f>
        <v>-155000000</v>
      </c>
    </row>
    <row r="17" spans="12:13" x14ac:dyDescent="0.35">
      <c r="L17" s="34">
        <v>1</v>
      </c>
      <c r="M17" s="51">
        <f>$M$3</f>
        <v>17939250</v>
      </c>
    </row>
    <row r="18" spans="12:13" x14ac:dyDescent="0.35">
      <c r="L18" s="34">
        <v>2</v>
      </c>
      <c r="M18" s="51">
        <f>$M$3</f>
        <v>17939250</v>
      </c>
    </row>
    <row r="19" spans="12:13" x14ac:dyDescent="0.35">
      <c r="L19" s="34">
        <v>3</v>
      </c>
      <c r="M19" s="51">
        <f>$M$3</f>
        <v>17939250</v>
      </c>
    </row>
    <row r="20" spans="12:13" x14ac:dyDescent="0.35">
      <c r="L20" s="34">
        <v>4</v>
      </c>
      <c r="M20" s="51">
        <f>$M$3</f>
        <v>17939250</v>
      </c>
    </row>
    <row r="21" spans="12:13" x14ac:dyDescent="0.35">
      <c r="L21" s="34">
        <v>5</v>
      </c>
      <c r="M21" s="51">
        <f>$M$3</f>
        <v>17939250</v>
      </c>
    </row>
    <row r="22" spans="12:13" x14ac:dyDescent="0.35">
      <c r="L22" s="34">
        <v>6</v>
      </c>
      <c r="M22" s="51">
        <f>$M$3</f>
        <v>17939250</v>
      </c>
    </row>
    <row r="23" spans="12:13" x14ac:dyDescent="0.35">
      <c r="L23" s="34">
        <v>7</v>
      </c>
      <c r="M23" s="51">
        <f>$M$3</f>
        <v>17939250</v>
      </c>
    </row>
    <row r="24" spans="12:13" x14ac:dyDescent="0.35">
      <c r="L24" s="34">
        <v>8</v>
      </c>
      <c r="M24" s="51">
        <f>$M$3</f>
        <v>17939250</v>
      </c>
    </row>
    <row r="25" spans="12:13" x14ac:dyDescent="0.35">
      <c r="L25" s="34">
        <v>9</v>
      </c>
      <c r="M25" s="51">
        <f>$M$3</f>
        <v>17939250</v>
      </c>
    </row>
    <row r="26" spans="12:13" x14ac:dyDescent="0.35">
      <c r="L26" s="34">
        <v>10</v>
      </c>
      <c r="M26" s="51">
        <f>$M$3</f>
        <v>17939250</v>
      </c>
    </row>
    <row r="27" spans="12:13" x14ac:dyDescent="0.35">
      <c r="L27" s="34">
        <v>11</v>
      </c>
      <c r="M27" s="51">
        <f>$M$3</f>
        <v>17939250</v>
      </c>
    </row>
    <row r="28" spans="12:13" x14ac:dyDescent="0.35">
      <c r="L28" s="34">
        <v>12</v>
      </c>
      <c r="M28" s="51">
        <f>$M$3</f>
        <v>17939250</v>
      </c>
    </row>
    <row r="29" spans="12:13" x14ac:dyDescent="0.35">
      <c r="L29" s="34">
        <v>13</v>
      </c>
      <c r="M29" s="51">
        <f>$M$3</f>
        <v>17939250</v>
      </c>
    </row>
    <row r="30" spans="12:13" x14ac:dyDescent="0.35">
      <c r="L30" s="34">
        <v>14</v>
      </c>
      <c r="M30" s="51">
        <f>$M$3</f>
        <v>17939250</v>
      </c>
    </row>
    <row r="31" spans="12:13" x14ac:dyDescent="0.35">
      <c r="L31" s="34">
        <v>15</v>
      </c>
      <c r="M31" s="51">
        <f>$M$3</f>
        <v>17939250</v>
      </c>
    </row>
    <row r="32" spans="12:13" x14ac:dyDescent="0.35">
      <c r="L32" s="34">
        <v>16</v>
      </c>
      <c r="M32" s="51">
        <f>$M$3</f>
        <v>17939250</v>
      </c>
    </row>
    <row r="33" spans="12:13" x14ac:dyDescent="0.35">
      <c r="L33" s="34">
        <v>17</v>
      </c>
      <c r="M33" s="51">
        <f>$M$3</f>
        <v>17939250</v>
      </c>
    </row>
    <row r="34" spans="12:13" x14ac:dyDescent="0.35">
      <c r="L34" s="34">
        <v>18</v>
      </c>
      <c r="M34" s="51">
        <f>$M$3</f>
        <v>17939250</v>
      </c>
    </row>
    <row r="35" spans="12:13" x14ac:dyDescent="0.35">
      <c r="L35" s="34">
        <v>19</v>
      </c>
      <c r="M35" s="51">
        <f>$M$3</f>
        <v>17939250</v>
      </c>
    </row>
    <row r="36" spans="12:13" x14ac:dyDescent="0.35">
      <c r="L36" s="34">
        <v>20</v>
      </c>
      <c r="M36" s="51">
        <f>$M$3</f>
        <v>17939250</v>
      </c>
    </row>
    <row r="37" spans="12:13" x14ac:dyDescent="0.35">
      <c r="L37" s="34">
        <v>21</v>
      </c>
      <c r="M37" s="51">
        <f>$M$3</f>
        <v>17939250</v>
      </c>
    </row>
    <row r="38" spans="12:13" x14ac:dyDescent="0.35">
      <c r="L38" s="34">
        <v>22</v>
      </c>
      <c r="M38" s="51">
        <f>$M$3</f>
        <v>17939250</v>
      </c>
    </row>
    <row r="39" spans="12:13" x14ac:dyDescent="0.35">
      <c r="L39" s="34">
        <v>23</v>
      </c>
      <c r="M39" s="51">
        <f>$M$3</f>
        <v>17939250</v>
      </c>
    </row>
    <row r="40" spans="12:13" x14ac:dyDescent="0.35">
      <c r="L40" s="34">
        <v>24</v>
      </c>
      <c r="M40" s="51">
        <f>$M$3</f>
        <v>17939250</v>
      </c>
    </row>
    <row r="41" spans="12:13" x14ac:dyDescent="0.35">
      <c r="L41" s="34">
        <v>25</v>
      </c>
      <c r="M41" s="51">
        <f>$M$3</f>
        <v>17939250</v>
      </c>
    </row>
    <row r="42" spans="12:13" x14ac:dyDescent="0.35">
      <c r="L42" s="34">
        <v>26</v>
      </c>
      <c r="M42" s="51">
        <f>$M$3</f>
        <v>17939250</v>
      </c>
    </row>
    <row r="43" spans="12:13" x14ac:dyDescent="0.35">
      <c r="L43" s="34">
        <v>27</v>
      </c>
      <c r="M43" s="51">
        <f>$M$3</f>
        <v>17939250</v>
      </c>
    </row>
    <row r="44" spans="12:13" x14ac:dyDescent="0.35">
      <c r="L44" s="34">
        <v>28</v>
      </c>
      <c r="M44" s="51">
        <f>$M$3</f>
        <v>17939250</v>
      </c>
    </row>
    <row r="45" spans="12:13" x14ac:dyDescent="0.35">
      <c r="L45" s="34">
        <v>29</v>
      </c>
      <c r="M45" s="51">
        <f>$M$3</f>
        <v>17939250</v>
      </c>
    </row>
    <row r="46" spans="12:13" x14ac:dyDescent="0.35">
      <c r="L46" s="34">
        <v>30</v>
      </c>
      <c r="M46" s="51">
        <f>$M$3</f>
        <v>17939250</v>
      </c>
    </row>
    <row r="47" spans="12:13" x14ac:dyDescent="0.35">
      <c r="L47" s="34">
        <v>31</v>
      </c>
      <c r="M47" s="51">
        <f>$M$3</f>
        <v>17939250</v>
      </c>
    </row>
    <row r="48" spans="12:13" x14ac:dyDescent="0.35">
      <c r="L48" s="34">
        <v>32</v>
      </c>
      <c r="M48" s="51">
        <f>$M$3</f>
        <v>17939250</v>
      </c>
    </row>
    <row r="49" spans="12:13" x14ac:dyDescent="0.35">
      <c r="L49" s="34">
        <v>33</v>
      </c>
      <c r="M49" s="51">
        <f>$M$3</f>
        <v>17939250</v>
      </c>
    </row>
    <row r="50" spans="12:13" x14ac:dyDescent="0.35">
      <c r="L50" s="34">
        <v>34</v>
      </c>
      <c r="M50" s="51">
        <f>$M$3</f>
        <v>17939250</v>
      </c>
    </row>
    <row r="51" spans="12:13" x14ac:dyDescent="0.35">
      <c r="L51" s="34">
        <v>35</v>
      </c>
      <c r="M51" s="51">
        <f>$M$3</f>
        <v>17939250</v>
      </c>
    </row>
    <row r="52" spans="12:13" x14ac:dyDescent="0.35">
      <c r="L52" s="34">
        <v>36</v>
      </c>
      <c r="M52" s="51">
        <f>$M$3</f>
        <v>17939250</v>
      </c>
    </row>
    <row r="53" spans="12:13" x14ac:dyDescent="0.35">
      <c r="L53" s="34">
        <v>37</v>
      </c>
      <c r="M53" s="51">
        <f>$M$3</f>
        <v>17939250</v>
      </c>
    </row>
    <row r="54" spans="12:13" x14ac:dyDescent="0.35">
      <c r="L54" s="34">
        <v>38</v>
      </c>
      <c r="M54" s="51">
        <f>$M$3</f>
        <v>17939250</v>
      </c>
    </row>
    <row r="55" spans="12:13" x14ac:dyDescent="0.35">
      <c r="L55" s="34">
        <v>39</v>
      </c>
      <c r="M55" s="51">
        <f>$M$3</f>
        <v>17939250</v>
      </c>
    </row>
    <row r="56" spans="12:13" x14ac:dyDescent="0.35">
      <c r="L56" s="34">
        <v>40</v>
      </c>
      <c r="M56" s="51">
        <f>$M$3</f>
        <v>17939250</v>
      </c>
    </row>
    <row r="57" spans="12:13" x14ac:dyDescent="0.35">
      <c r="L57" s="34">
        <v>41</v>
      </c>
      <c r="M57" s="51">
        <f>$M$3</f>
        <v>17939250</v>
      </c>
    </row>
    <row r="58" spans="12:13" x14ac:dyDescent="0.35">
      <c r="L58" s="34">
        <v>42</v>
      </c>
      <c r="M58" s="51">
        <f>$M$3</f>
        <v>17939250</v>
      </c>
    </row>
    <row r="59" spans="12:13" x14ac:dyDescent="0.35">
      <c r="L59" s="34">
        <v>43</v>
      </c>
      <c r="M59" s="51">
        <f>$M$3</f>
        <v>17939250</v>
      </c>
    </row>
    <row r="60" spans="12:13" x14ac:dyDescent="0.35">
      <c r="L60" s="34">
        <v>44</v>
      </c>
      <c r="M60" s="51">
        <f>$M$3</f>
        <v>17939250</v>
      </c>
    </row>
    <row r="61" spans="12:13" x14ac:dyDescent="0.35">
      <c r="L61" s="34">
        <v>45</v>
      </c>
      <c r="M61" s="51">
        <f>$M$3</f>
        <v>17939250</v>
      </c>
    </row>
    <row r="62" spans="12:13" x14ac:dyDescent="0.35">
      <c r="L62" s="34">
        <v>46</v>
      </c>
      <c r="M62" s="51">
        <f>$M$3</f>
        <v>17939250</v>
      </c>
    </row>
    <row r="63" spans="12:13" x14ac:dyDescent="0.35">
      <c r="L63" s="34">
        <v>47</v>
      </c>
      <c r="M63" s="51">
        <f>$M$3</f>
        <v>17939250</v>
      </c>
    </row>
    <row r="64" spans="12:13" x14ac:dyDescent="0.35">
      <c r="L64" s="34">
        <v>48</v>
      </c>
      <c r="M64" s="51">
        <f>$M$3</f>
        <v>17939250</v>
      </c>
    </row>
    <row r="65" spans="12:13" x14ac:dyDescent="0.35">
      <c r="L65" s="34">
        <v>49</v>
      </c>
      <c r="M65" s="51">
        <f>$M$3</f>
        <v>17939250</v>
      </c>
    </row>
    <row r="66" spans="12:13" x14ac:dyDescent="0.35">
      <c r="L66" s="34">
        <v>50</v>
      </c>
      <c r="M66" s="51">
        <f>$M$3</f>
        <v>17939250</v>
      </c>
    </row>
  </sheetData>
  <mergeCells count="4">
    <mergeCell ref="L2:M2"/>
    <mergeCell ref="L11:M11"/>
    <mergeCell ref="N12:N14"/>
    <mergeCell ref="I14:K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:O14"/>
  <sheetViews>
    <sheetView zoomScaleNormal="100" workbookViewId="0">
      <selection activeCell="Q17" sqref="Q17"/>
    </sheetView>
  </sheetViews>
  <sheetFormatPr defaultColWidth="9.140625" defaultRowHeight="15" x14ac:dyDescent="0.25"/>
  <cols>
    <col min="1" max="10" width="9.140625" style="4"/>
    <col min="11" max="11" width="11.7109375" style="4" customWidth="1"/>
    <col min="12" max="12" width="27.5703125" style="4" customWidth="1"/>
    <col min="13" max="13" width="13.42578125" style="4" customWidth="1"/>
    <col min="14" max="14" width="15" style="4" bestFit="1" customWidth="1"/>
    <col min="15" max="15" width="16.7109375" style="4" bestFit="1" customWidth="1"/>
    <col min="16" max="16384" width="9.140625" style="4"/>
  </cols>
  <sheetData>
    <row r="2" spans="11:15" ht="23.25" x14ac:dyDescent="0.35">
      <c r="K2" s="43" t="s">
        <v>2</v>
      </c>
      <c r="L2" s="43" t="s">
        <v>3</v>
      </c>
    </row>
    <row r="3" spans="11:15" ht="23.25" x14ac:dyDescent="0.35">
      <c r="K3" s="43">
        <v>0</v>
      </c>
      <c r="L3" s="44">
        <v>-350000</v>
      </c>
    </row>
    <row r="4" spans="11:15" ht="23.25" x14ac:dyDescent="0.35">
      <c r="K4" s="43">
        <v>1</v>
      </c>
      <c r="L4" s="45">
        <f>350000-200000</f>
        <v>150000</v>
      </c>
    </row>
    <row r="5" spans="11:15" ht="23.25" x14ac:dyDescent="0.35">
      <c r="K5" s="43">
        <v>2</v>
      </c>
      <c r="L5" s="45">
        <f>350000-205000</f>
        <v>145000</v>
      </c>
    </row>
    <row r="6" spans="11:15" ht="23.25" x14ac:dyDescent="0.35">
      <c r="K6" s="43">
        <v>3</v>
      </c>
      <c r="L6" s="45">
        <f>350000-210000</f>
        <v>140000</v>
      </c>
    </row>
    <row r="7" spans="11:15" ht="23.25" x14ac:dyDescent="0.35">
      <c r="K7" s="43">
        <v>4</v>
      </c>
      <c r="L7" s="45">
        <f>350000-215000</f>
        <v>135000</v>
      </c>
    </row>
    <row r="8" spans="11:15" ht="23.25" x14ac:dyDescent="0.35">
      <c r="K8" s="43">
        <v>5</v>
      </c>
      <c r="L8" s="45">
        <f>350000-220000</f>
        <v>130000</v>
      </c>
    </row>
    <row r="9" spans="11:15" ht="23.25" x14ac:dyDescent="0.35">
      <c r="K9" s="46"/>
      <c r="L9" s="46"/>
      <c r="N9" s="2"/>
      <c r="O9" s="6"/>
    </row>
    <row r="10" spans="11:15" ht="23.25" x14ac:dyDescent="0.35">
      <c r="K10" s="47" t="s">
        <v>4</v>
      </c>
      <c r="L10" s="48">
        <v>0.08</v>
      </c>
      <c r="N10" s="2"/>
      <c r="O10" s="6"/>
    </row>
    <row r="11" spans="11:15" ht="23.25" x14ac:dyDescent="0.35">
      <c r="K11" s="47" t="s">
        <v>7</v>
      </c>
      <c r="L11" s="49">
        <f>NPV(L10,L4:L8)</f>
        <v>562044.37731738016</v>
      </c>
      <c r="N11" s="2"/>
      <c r="O11" s="6"/>
    </row>
    <row r="12" spans="11:15" ht="23.25" x14ac:dyDescent="0.35">
      <c r="K12" s="83" t="s">
        <v>6</v>
      </c>
      <c r="L12" s="82">
        <f>L11+L3</f>
        <v>212044.37731738016</v>
      </c>
      <c r="M12" s="117" t="s">
        <v>59</v>
      </c>
      <c r="N12" s="117"/>
      <c r="O12" s="6"/>
    </row>
    <row r="13" spans="11:15" ht="23.25" x14ac:dyDescent="0.35">
      <c r="K13" s="83" t="s">
        <v>8</v>
      </c>
      <c r="L13" s="82">
        <f>-PMT(L10,5,L12)</f>
        <v>53107.882953743581</v>
      </c>
      <c r="M13" s="117"/>
      <c r="N13" s="117"/>
      <c r="O13" s="6"/>
    </row>
    <row r="14" spans="11:15" ht="23.25" x14ac:dyDescent="0.35">
      <c r="K14" s="83" t="s">
        <v>9</v>
      </c>
      <c r="L14" s="114">
        <f>IRR(L3:L8)</f>
        <v>0.29568788382538491</v>
      </c>
      <c r="M14" s="117"/>
      <c r="N14" s="117"/>
    </row>
  </sheetData>
  <mergeCells count="1">
    <mergeCell ref="M12:N1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D1" zoomScale="140" zoomScaleNormal="140" workbookViewId="0">
      <selection activeCell="G15" sqref="G15"/>
    </sheetView>
  </sheetViews>
  <sheetFormatPr defaultRowHeight="15" x14ac:dyDescent="0.25"/>
  <cols>
    <col min="1" max="8" width="8.7109375" style="4"/>
    <col min="9" max="9" width="15.42578125" style="4" customWidth="1"/>
    <col min="10" max="10" width="21.42578125" style="4" customWidth="1"/>
    <col min="11" max="11" width="24.85546875" style="4" customWidth="1"/>
    <col min="12" max="12" width="7.42578125" style="4" customWidth="1"/>
    <col min="13" max="14" width="9.140625" style="4"/>
    <col min="15" max="15" width="15" style="4" customWidth="1"/>
    <col min="16" max="16" width="18.5703125" style="4" customWidth="1"/>
    <col min="17" max="17" width="17.140625" style="4" customWidth="1"/>
    <col min="18" max="22" width="8.7109375" style="4"/>
    <col min="23" max="33" width="8.7109375" style="1"/>
  </cols>
  <sheetData>
    <row r="1" spans="3:21" x14ac:dyDescent="0.25">
      <c r="C1" s="94" t="s">
        <v>0</v>
      </c>
      <c r="D1" s="94"/>
      <c r="E1" s="94"/>
      <c r="H1" s="14" t="s">
        <v>2</v>
      </c>
      <c r="I1" s="14" t="s">
        <v>3</v>
      </c>
      <c r="J1" s="95" t="s">
        <v>50</v>
      </c>
      <c r="K1" s="95"/>
      <c r="L1" s="57"/>
      <c r="N1" s="14" t="s">
        <v>2</v>
      </c>
      <c r="O1" s="14" t="s">
        <v>3</v>
      </c>
      <c r="P1" s="95" t="s">
        <v>50</v>
      </c>
      <c r="Q1" s="95"/>
      <c r="R1" s="94" t="s">
        <v>1</v>
      </c>
      <c r="S1" s="94"/>
      <c r="T1" s="94"/>
      <c r="U1" s="94"/>
    </row>
    <row r="2" spans="3:21" x14ac:dyDescent="0.25">
      <c r="H2" s="14">
        <v>0</v>
      </c>
      <c r="I2" s="20">
        <v>-10000</v>
      </c>
      <c r="J2" s="22" t="s">
        <v>57</v>
      </c>
      <c r="K2" s="22" t="s">
        <v>52</v>
      </c>
      <c r="L2" s="58"/>
      <c r="N2" s="14">
        <v>0</v>
      </c>
      <c r="O2" s="20">
        <v>-30000</v>
      </c>
      <c r="P2" s="22" t="s">
        <v>51</v>
      </c>
      <c r="Q2" s="22" t="s">
        <v>52</v>
      </c>
    </row>
    <row r="3" spans="3:21" x14ac:dyDescent="0.25">
      <c r="H3" s="14">
        <v>1</v>
      </c>
      <c r="I3" s="17">
        <v>2000</v>
      </c>
      <c r="J3" s="17">
        <f>-PV($I$14,H3,,I3)</f>
        <v>1851.8518518518517</v>
      </c>
      <c r="K3" s="20">
        <f>I2+J3</f>
        <v>-8148.1481481481478</v>
      </c>
      <c r="L3" s="59"/>
      <c r="N3" s="14">
        <v>1</v>
      </c>
      <c r="O3" s="17">
        <v>4700</v>
      </c>
      <c r="P3" s="17">
        <f>-PV($O$14,N3,,O3)</f>
        <v>4351.8518518518513</v>
      </c>
      <c r="Q3" s="20">
        <f>O2+P3</f>
        <v>-25648.14814814815</v>
      </c>
    </row>
    <row r="4" spans="3:21" x14ac:dyDescent="0.25">
      <c r="H4" s="14">
        <v>2</v>
      </c>
      <c r="I4" s="17">
        <v>2000</v>
      </c>
      <c r="J4" s="17">
        <f>-PV($I$14,H4,,I4)</f>
        <v>1714.6776406035665</v>
      </c>
      <c r="K4" s="20">
        <f>K3+J4</f>
        <v>-6433.4705075445818</v>
      </c>
      <c r="L4" s="59"/>
      <c r="N4" s="14">
        <v>2</v>
      </c>
      <c r="O4" s="17">
        <v>4700</v>
      </c>
      <c r="P4" s="17">
        <f>-PV($O$14,N4,,O4)</f>
        <v>4029.4924554183808</v>
      </c>
      <c r="Q4" s="20">
        <f>Q3+P4</f>
        <v>-21618.655692729768</v>
      </c>
    </row>
    <row r="5" spans="3:21" x14ac:dyDescent="0.25">
      <c r="H5" s="14">
        <v>3</v>
      </c>
      <c r="I5" s="17">
        <v>2000</v>
      </c>
      <c r="J5" s="17">
        <f t="shared" ref="J5:J12" si="0">-PV($I$14,H5,,I5)</f>
        <v>1587.6644820403392</v>
      </c>
      <c r="K5" s="20">
        <f>K4+J5</f>
        <v>-4845.8060255042428</v>
      </c>
      <c r="L5" s="59"/>
      <c r="N5" s="14">
        <v>3</v>
      </c>
      <c r="O5" s="17">
        <v>4700</v>
      </c>
      <c r="P5" s="17">
        <f t="shared" ref="P5:P12" si="1">-PV($O$14,N5,,O5)</f>
        <v>3731.0115327947969</v>
      </c>
      <c r="Q5" s="20">
        <f t="shared" ref="Q5:Q12" si="2">Q4+P5</f>
        <v>-17887.644159934971</v>
      </c>
    </row>
    <row r="6" spans="3:21" x14ac:dyDescent="0.25">
      <c r="H6" s="14">
        <v>4</v>
      </c>
      <c r="I6" s="17">
        <v>2000</v>
      </c>
      <c r="J6" s="17">
        <f t="shared" si="0"/>
        <v>1470.0597055929065</v>
      </c>
      <c r="K6" s="20">
        <f t="shared" ref="K6:K12" si="3">K5+J6</f>
        <v>-3375.7463199113363</v>
      </c>
      <c r="L6" s="59"/>
      <c r="N6" s="14">
        <v>4</v>
      </c>
      <c r="O6" s="17">
        <v>4700</v>
      </c>
      <c r="P6" s="17">
        <f t="shared" si="1"/>
        <v>3454.6403081433305</v>
      </c>
      <c r="Q6" s="20">
        <f t="shared" si="2"/>
        <v>-14433.00385179164</v>
      </c>
    </row>
    <row r="7" spans="3:21" x14ac:dyDescent="0.25">
      <c r="H7" s="14">
        <v>5</v>
      </c>
      <c r="I7" s="17">
        <v>2000</v>
      </c>
      <c r="J7" s="17">
        <f t="shared" si="0"/>
        <v>1361.166394067506</v>
      </c>
      <c r="K7" s="20">
        <f t="shared" si="3"/>
        <v>-2014.5799258438303</v>
      </c>
      <c r="L7" s="59"/>
      <c r="N7" s="14">
        <v>5</v>
      </c>
      <c r="O7" s="17">
        <v>4700</v>
      </c>
      <c r="P7" s="17">
        <f t="shared" si="1"/>
        <v>3198.7410260586394</v>
      </c>
      <c r="Q7" s="20">
        <f t="shared" si="2"/>
        <v>-11234.262825733</v>
      </c>
    </row>
    <row r="8" spans="3:21" x14ac:dyDescent="0.25">
      <c r="H8" s="14">
        <v>6</v>
      </c>
      <c r="I8" s="17">
        <v>2000</v>
      </c>
      <c r="J8" s="17">
        <f t="shared" si="0"/>
        <v>1260.3392537662091</v>
      </c>
      <c r="K8" s="20">
        <f t="shared" si="3"/>
        <v>-754.24067207762118</v>
      </c>
      <c r="L8" s="59"/>
      <c r="N8" s="14">
        <v>6</v>
      </c>
      <c r="O8" s="17">
        <v>4700</v>
      </c>
      <c r="P8" s="17">
        <f t="shared" si="1"/>
        <v>2961.7972463505916</v>
      </c>
      <c r="Q8" s="20">
        <f t="shared" si="2"/>
        <v>-8272.4655793824077</v>
      </c>
    </row>
    <row r="9" spans="3:21" x14ac:dyDescent="0.25">
      <c r="H9" s="14">
        <v>7</v>
      </c>
      <c r="I9" s="17">
        <v>2000</v>
      </c>
      <c r="J9" s="17">
        <f t="shared" si="0"/>
        <v>1166.9807905242676</v>
      </c>
      <c r="K9" s="17">
        <f t="shared" si="3"/>
        <v>412.74011844664642</v>
      </c>
      <c r="L9" s="59"/>
      <c r="N9" s="14">
        <v>7</v>
      </c>
      <c r="O9" s="17">
        <v>4700</v>
      </c>
      <c r="P9" s="17">
        <f t="shared" si="1"/>
        <v>2742.4048577320291</v>
      </c>
      <c r="Q9" s="20">
        <f t="shared" si="2"/>
        <v>-5530.0607216503786</v>
      </c>
    </row>
    <row r="10" spans="3:21" x14ac:dyDescent="0.25">
      <c r="H10" s="14">
        <v>8</v>
      </c>
      <c r="I10" s="17">
        <v>2000</v>
      </c>
      <c r="J10" s="17">
        <f t="shared" si="0"/>
        <v>1080.5377690039516</v>
      </c>
      <c r="K10" s="17">
        <f t="shared" si="3"/>
        <v>1493.277887450598</v>
      </c>
      <c r="L10" s="59"/>
      <c r="N10" s="14">
        <v>8</v>
      </c>
      <c r="O10" s="17">
        <v>4700</v>
      </c>
      <c r="P10" s="17">
        <f t="shared" si="1"/>
        <v>2539.2637571592863</v>
      </c>
      <c r="Q10" s="20">
        <f t="shared" si="2"/>
        <v>-2990.7969644910922</v>
      </c>
    </row>
    <row r="11" spans="3:21" x14ac:dyDescent="0.25">
      <c r="H11" s="14">
        <v>9</v>
      </c>
      <c r="I11" s="17">
        <v>2000</v>
      </c>
      <c r="J11" s="17">
        <f t="shared" si="0"/>
        <v>1000.497934262918</v>
      </c>
      <c r="K11" s="17">
        <f t="shared" si="3"/>
        <v>2493.7758217135161</v>
      </c>
      <c r="L11" s="59"/>
      <c r="N11" s="14">
        <v>9</v>
      </c>
      <c r="O11" s="17">
        <v>4700</v>
      </c>
      <c r="P11" s="17">
        <f t="shared" si="1"/>
        <v>2351.1701455178572</v>
      </c>
      <c r="Q11" s="20">
        <f t="shared" si="2"/>
        <v>-639.626818973235</v>
      </c>
    </row>
    <row r="12" spans="3:21" x14ac:dyDescent="0.25">
      <c r="H12" s="14">
        <v>10</v>
      </c>
      <c r="I12" s="17">
        <v>2000</v>
      </c>
      <c r="J12" s="17">
        <f t="shared" si="0"/>
        <v>926.38697616936849</v>
      </c>
      <c r="K12" s="17">
        <f t="shared" si="3"/>
        <v>3420.1627978828847</v>
      </c>
      <c r="L12" s="59"/>
      <c r="N12" s="14">
        <v>10</v>
      </c>
      <c r="O12" s="17">
        <f>4700+10705</f>
        <v>15405</v>
      </c>
      <c r="P12" s="17">
        <f t="shared" si="1"/>
        <v>7135.4956839445613</v>
      </c>
      <c r="Q12" s="17">
        <f t="shared" si="2"/>
        <v>6495.8688649713258</v>
      </c>
    </row>
    <row r="13" spans="3:21" x14ac:dyDescent="0.25">
      <c r="H13" s="95" t="s">
        <v>0</v>
      </c>
      <c r="I13" s="95"/>
      <c r="N13" s="95" t="s">
        <v>1</v>
      </c>
      <c r="O13" s="95"/>
    </row>
    <row r="14" spans="3:21" x14ac:dyDescent="0.25">
      <c r="H14" s="14" t="s">
        <v>4</v>
      </c>
      <c r="I14" s="16">
        <v>0.08</v>
      </c>
      <c r="J14" s="60"/>
      <c r="K14" s="60"/>
      <c r="L14" s="60"/>
      <c r="N14" s="14" t="s">
        <v>4</v>
      </c>
      <c r="O14" s="16">
        <v>0.08</v>
      </c>
    </row>
    <row r="15" spans="3:21" x14ac:dyDescent="0.25">
      <c r="H15" s="77" t="s">
        <v>48</v>
      </c>
      <c r="I15" s="78">
        <f>10000/2000</f>
        <v>5</v>
      </c>
      <c r="J15" s="113" t="s">
        <v>33</v>
      </c>
      <c r="K15" s="93" t="s">
        <v>58</v>
      </c>
      <c r="L15" s="61"/>
      <c r="N15" s="77" t="s">
        <v>48</v>
      </c>
      <c r="O15" s="75">
        <f>30000/4700</f>
        <v>6.3829787234042552</v>
      </c>
      <c r="P15" s="10" t="s">
        <v>33</v>
      </c>
    </row>
    <row r="16" spans="3:21" x14ac:dyDescent="0.25">
      <c r="H16" s="14" t="s">
        <v>49</v>
      </c>
      <c r="I16" s="78">
        <f>6 + 754.24/1166.98</f>
        <v>6.6463178460641998</v>
      </c>
      <c r="J16" s="113" t="s">
        <v>33</v>
      </c>
      <c r="K16" s="93"/>
      <c r="L16" s="61"/>
      <c r="N16" s="14" t="s">
        <v>49</v>
      </c>
      <c r="O16" s="75">
        <f>9+639.63/7135.5</f>
        <v>9.0896405297456386</v>
      </c>
      <c r="P16" s="10" t="s">
        <v>33</v>
      </c>
    </row>
    <row r="37" spans="9:12" x14ac:dyDescent="0.25">
      <c r="I37" s="55"/>
      <c r="J37" s="55"/>
      <c r="K37" s="55"/>
      <c r="L37" s="55"/>
    </row>
  </sheetData>
  <mergeCells count="7">
    <mergeCell ref="K15:K16"/>
    <mergeCell ref="C1:E1"/>
    <mergeCell ref="R1:U1"/>
    <mergeCell ref="H13:I13"/>
    <mergeCell ref="N13:O13"/>
    <mergeCell ref="J1:K1"/>
    <mergeCell ref="P1:Q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37"/>
  <sheetViews>
    <sheetView zoomScale="140" zoomScaleNormal="140" workbookViewId="0">
      <selection activeCell="E16" sqref="E16"/>
    </sheetView>
  </sheetViews>
  <sheetFormatPr defaultColWidth="9.140625" defaultRowHeight="15" x14ac:dyDescent="0.25"/>
  <cols>
    <col min="1" max="3" width="9.140625" style="4"/>
    <col min="4" max="4" width="12.7109375" style="4" customWidth="1"/>
    <col min="5" max="8" width="9.140625" style="4"/>
    <col min="9" max="9" width="15.42578125" style="4" customWidth="1"/>
    <col min="10" max="10" width="6.140625" style="4" customWidth="1"/>
    <col min="11" max="12" width="9.140625" style="4"/>
    <col min="13" max="13" width="15" style="4" customWidth="1"/>
    <col min="14" max="16384" width="9.140625" style="4"/>
  </cols>
  <sheetData>
    <row r="1" spans="3:19" x14ac:dyDescent="0.25">
      <c r="C1" s="94" t="s">
        <v>0</v>
      </c>
      <c r="D1" s="94"/>
      <c r="E1" s="94"/>
      <c r="H1" s="14" t="s">
        <v>2</v>
      </c>
      <c r="I1" s="14" t="s">
        <v>3</v>
      </c>
      <c r="J1" s="57"/>
      <c r="L1" s="14" t="s">
        <v>2</v>
      </c>
      <c r="M1" s="14" t="s">
        <v>3</v>
      </c>
      <c r="P1" s="94" t="s">
        <v>1</v>
      </c>
      <c r="Q1" s="94"/>
      <c r="R1" s="94"/>
      <c r="S1" s="94"/>
    </row>
    <row r="2" spans="3:19" x14ac:dyDescent="0.25">
      <c r="H2" s="14">
        <v>0</v>
      </c>
      <c r="I2" s="20">
        <v>-10000</v>
      </c>
      <c r="J2" s="58"/>
      <c r="L2" s="14">
        <v>0</v>
      </c>
      <c r="M2" s="20">
        <v>-30000</v>
      </c>
    </row>
    <row r="3" spans="3:19" x14ac:dyDescent="0.25">
      <c r="H3" s="14">
        <v>1</v>
      </c>
      <c r="I3" s="17">
        <v>2000</v>
      </c>
      <c r="J3" s="59"/>
      <c r="L3" s="14">
        <v>1</v>
      </c>
      <c r="M3" s="17">
        <v>4700</v>
      </c>
    </row>
    <row r="4" spans="3:19" x14ac:dyDescent="0.25">
      <c r="H4" s="14">
        <v>2</v>
      </c>
      <c r="I4" s="17">
        <v>2000</v>
      </c>
      <c r="J4" s="59"/>
      <c r="L4" s="14">
        <v>2</v>
      </c>
      <c r="M4" s="17">
        <v>4700</v>
      </c>
    </row>
    <row r="5" spans="3:19" x14ac:dyDescent="0.25">
      <c r="H5" s="14">
        <v>3</v>
      </c>
      <c r="I5" s="17">
        <v>2000</v>
      </c>
      <c r="J5" s="59"/>
      <c r="L5" s="14">
        <v>3</v>
      </c>
      <c r="M5" s="17">
        <v>4700</v>
      </c>
    </row>
    <row r="6" spans="3:19" x14ac:dyDescent="0.25">
      <c r="H6" s="14">
        <v>4</v>
      </c>
      <c r="I6" s="17">
        <v>2000</v>
      </c>
      <c r="J6" s="59"/>
      <c r="L6" s="14">
        <v>4</v>
      </c>
      <c r="M6" s="17">
        <v>4700</v>
      </c>
    </row>
    <row r="7" spans="3:19" x14ac:dyDescent="0.25">
      <c r="H7" s="14">
        <v>5</v>
      </c>
      <c r="I7" s="17">
        <v>2000</v>
      </c>
      <c r="J7" s="59"/>
      <c r="L7" s="14">
        <v>5</v>
      </c>
      <c r="M7" s="17">
        <v>4700</v>
      </c>
    </row>
    <row r="8" spans="3:19" x14ac:dyDescent="0.25">
      <c r="H8" s="14">
        <v>6</v>
      </c>
      <c r="I8" s="17">
        <v>2000</v>
      </c>
      <c r="J8" s="59"/>
      <c r="L8" s="14">
        <v>6</v>
      </c>
      <c r="M8" s="17">
        <v>4700</v>
      </c>
    </row>
    <row r="9" spans="3:19" x14ac:dyDescent="0.25">
      <c r="H9" s="14">
        <v>7</v>
      </c>
      <c r="I9" s="17">
        <v>2000</v>
      </c>
      <c r="J9" s="59"/>
      <c r="L9" s="14">
        <v>7</v>
      </c>
      <c r="M9" s="17">
        <v>4700</v>
      </c>
    </row>
    <row r="10" spans="3:19" x14ac:dyDescent="0.25">
      <c r="C10" s="96" t="s">
        <v>59</v>
      </c>
      <c r="D10" s="96"/>
      <c r="E10" s="96"/>
      <c r="H10" s="14">
        <v>8</v>
      </c>
      <c r="I10" s="17">
        <v>2000</v>
      </c>
      <c r="J10" s="59"/>
      <c r="L10" s="14">
        <v>8</v>
      </c>
      <c r="M10" s="17">
        <v>4700</v>
      </c>
    </row>
    <row r="11" spans="3:19" x14ac:dyDescent="0.25">
      <c r="C11" s="96" t="s">
        <v>60</v>
      </c>
      <c r="D11" s="96"/>
      <c r="E11" s="96"/>
      <c r="H11" s="14">
        <v>9</v>
      </c>
      <c r="I11" s="17">
        <v>2000</v>
      </c>
      <c r="J11" s="59"/>
      <c r="L11" s="14">
        <v>9</v>
      </c>
      <c r="M11" s="17">
        <v>4700</v>
      </c>
    </row>
    <row r="12" spans="3:19" x14ac:dyDescent="0.25">
      <c r="C12" s="97" t="s">
        <v>63</v>
      </c>
      <c r="D12" s="97"/>
      <c r="E12" s="97"/>
      <c r="H12" s="14">
        <v>10</v>
      </c>
      <c r="I12" s="17">
        <v>2000</v>
      </c>
      <c r="J12" s="59"/>
      <c r="L12" s="14">
        <v>10</v>
      </c>
      <c r="M12" s="17">
        <f>4700+10705</f>
        <v>15405</v>
      </c>
    </row>
    <row r="13" spans="3:19" x14ac:dyDescent="0.25">
      <c r="H13" s="95" t="s">
        <v>0</v>
      </c>
      <c r="I13" s="95"/>
      <c r="L13" s="95" t="s">
        <v>1</v>
      </c>
      <c r="M13" s="95"/>
      <c r="P13" s="96" t="s">
        <v>59</v>
      </c>
      <c r="Q13" s="96"/>
      <c r="R13" s="96"/>
    </row>
    <row r="14" spans="3:19" x14ac:dyDescent="0.25">
      <c r="H14" s="14" t="s">
        <v>4</v>
      </c>
      <c r="I14" s="16">
        <v>0.08</v>
      </c>
      <c r="J14" s="60"/>
      <c r="L14" s="66" t="s">
        <v>4</v>
      </c>
      <c r="M14" s="16">
        <v>0.08</v>
      </c>
      <c r="P14" s="96" t="s">
        <v>61</v>
      </c>
      <c r="Q14" s="96"/>
      <c r="R14" s="96"/>
    </row>
    <row r="15" spans="3:19" x14ac:dyDescent="0.25">
      <c r="H15" s="14" t="s">
        <v>7</v>
      </c>
      <c r="I15" s="21">
        <f>NPV(I14,I3:I12)</f>
        <v>13420.162797882882</v>
      </c>
      <c r="J15" s="61"/>
      <c r="L15" s="66" t="s">
        <v>7</v>
      </c>
      <c r="M15" s="19">
        <f>NPV(M14,M3:M12)</f>
        <v>36495.868864971322</v>
      </c>
      <c r="P15" s="96" t="s">
        <v>62</v>
      </c>
      <c r="Q15" s="96"/>
      <c r="R15" s="96"/>
    </row>
    <row r="16" spans="3:19" x14ac:dyDescent="0.25">
      <c r="H16" s="14" t="s">
        <v>6</v>
      </c>
      <c r="I16" s="21">
        <f>I15+I2</f>
        <v>3420.1627978828819</v>
      </c>
      <c r="J16" s="61"/>
      <c r="L16" s="66" t="s">
        <v>6</v>
      </c>
      <c r="M16" s="80">
        <f>M15+M2</f>
        <v>6495.8688649713222</v>
      </c>
    </row>
    <row r="17" spans="8:13" x14ac:dyDescent="0.25">
      <c r="H17" s="66" t="s">
        <v>8</v>
      </c>
      <c r="I17" s="21">
        <f>-PMT(I14,10,I16)</f>
        <v>509.70511302924479</v>
      </c>
      <c r="L17" s="66" t="s">
        <v>8</v>
      </c>
      <c r="M17" s="81">
        <f>-PMT(M14,10,M16)</f>
        <v>968.07601558992769</v>
      </c>
    </row>
    <row r="37" spans="9:10" x14ac:dyDescent="0.25">
      <c r="I37" s="55"/>
      <c r="J37" s="55"/>
    </row>
  </sheetData>
  <mergeCells count="10">
    <mergeCell ref="P14:R14"/>
    <mergeCell ref="P15:R15"/>
    <mergeCell ref="P1:S1"/>
    <mergeCell ref="C1:E1"/>
    <mergeCell ref="H13:I13"/>
    <mergeCell ref="L13:M13"/>
    <mergeCell ref="P13:R13"/>
    <mergeCell ref="C10:E10"/>
    <mergeCell ref="C11:E11"/>
    <mergeCell ref="C12:E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8"/>
  <sheetViews>
    <sheetView zoomScale="140" zoomScaleNormal="140" workbookViewId="0">
      <selection activeCell="P22" sqref="P22"/>
    </sheetView>
  </sheetViews>
  <sheetFormatPr defaultColWidth="9.140625" defaultRowHeight="15" x14ac:dyDescent="0.25"/>
  <cols>
    <col min="1" max="5" width="9.140625" style="4"/>
    <col min="6" max="6" width="13.85546875" style="4" customWidth="1"/>
    <col min="7" max="8" width="9.140625" style="4"/>
    <col min="9" max="9" width="9.140625" style="4" customWidth="1"/>
    <col min="10" max="10" width="15.28515625" style="4" customWidth="1"/>
    <col min="11" max="11" width="8.42578125" style="4" customWidth="1"/>
    <col min="12" max="12" width="11.140625" style="4" bestFit="1" customWidth="1"/>
    <col min="13" max="13" width="9.140625" style="4"/>
    <col min="14" max="14" width="15" style="4" customWidth="1"/>
    <col min="15" max="16" width="9.140625" style="4"/>
    <col min="17" max="17" width="14.5703125" style="4" customWidth="1"/>
    <col min="18" max="16384" width="9.140625" style="4"/>
  </cols>
  <sheetData>
    <row r="1" spans="2:20" x14ac:dyDescent="0.25">
      <c r="I1" s="14" t="s">
        <v>2</v>
      </c>
      <c r="J1" s="14" t="s">
        <v>3</v>
      </c>
      <c r="M1" s="14" t="s">
        <v>2</v>
      </c>
      <c r="N1" s="14" t="s">
        <v>3</v>
      </c>
      <c r="Q1" s="94" t="s">
        <v>1</v>
      </c>
      <c r="R1" s="94"/>
      <c r="S1" s="94"/>
      <c r="T1" s="94"/>
    </row>
    <row r="2" spans="2:20" ht="18.75" x14ac:dyDescent="0.3">
      <c r="B2" s="98" t="s">
        <v>0</v>
      </c>
      <c r="C2" s="98"/>
      <c r="D2" s="98"/>
      <c r="E2" s="98"/>
      <c r="F2" s="98"/>
      <c r="G2" s="98"/>
      <c r="I2" s="14">
        <v>0</v>
      </c>
      <c r="J2" s="20">
        <v>-10000</v>
      </c>
      <c r="M2" s="14">
        <v>0</v>
      </c>
      <c r="N2" s="22">
        <v>-30000</v>
      </c>
    </row>
    <row r="3" spans="2:20" x14ac:dyDescent="0.25">
      <c r="I3" s="14">
        <v>1</v>
      </c>
      <c r="J3" s="17">
        <v>2000</v>
      </c>
      <c r="K3" s="55"/>
      <c r="L3" s="55"/>
      <c r="M3" s="14">
        <v>1</v>
      </c>
      <c r="N3" s="15">
        <v>4700</v>
      </c>
    </row>
    <row r="4" spans="2:20" x14ac:dyDescent="0.25">
      <c r="I4" s="14">
        <v>2</v>
      </c>
      <c r="J4" s="17">
        <v>2000</v>
      </c>
      <c r="K4" s="55"/>
      <c r="L4" s="55"/>
      <c r="M4" s="14">
        <v>2</v>
      </c>
      <c r="N4" s="15">
        <v>4700</v>
      </c>
    </row>
    <row r="5" spans="2:20" x14ac:dyDescent="0.25">
      <c r="I5" s="14">
        <v>3</v>
      </c>
      <c r="J5" s="17">
        <v>2000</v>
      </c>
      <c r="K5" s="55"/>
      <c r="L5" s="55"/>
      <c r="M5" s="14">
        <v>3</v>
      </c>
      <c r="N5" s="15">
        <v>4700</v>
      </c>
    </row>
    <row r="6" spans="2:20" x14ac:dyDescent="0.25">
      <c r="I6" s="14">
        <v>4</v>
      </c>
      <c r="J6" s="17">
        <v>2000</v>
      </c>
      <c r="K6" s="55"/>
      <c r="L6" s="55"/>
      <c r="M6" s="14">
        <v>4</v>
      </c>
      <c r="N6" s="15">
        <v>4700</v>
      </c>
    </row>
    <row r="7" spans="2:20" x14ac:dyDescent="0.25">
      <c r="I7" s="14">
        <v>5</v>
      </c>
      <c r="J7" s="17">
        <v>2000</v>
      </c>
      <c r="K7" s="55"/>
      <c r="L7" s="55"/>
      <c r="M7" s="14">
        <v>5</v>
      </c>
      <c r="N7" s="15">
        <v>4700</v>
      </c>
    </row>
    <row r="8" spans="2:20" x14ac:dyDescent="0.25">
      <c r="I8" s="14">
        <v>6</v>
      </c>
      <c r="J8" s="17">
        <v>2000</v>
      </c>
      <c r="K8" s="55"/>
      <c r="L8" s="55"/>
      <c r="M8" s="14">
        <v>6</v>
      </c>
      <c r="N8" s="15">
        <v>4700</v>
      </c>
    </row>
    <row r="9" spans="2:20" x14ac:dyDescent="0.25">
      <c r="I9" s="14">
        <v>7</v>
      </c>
      <c r="J9" s="17">
        <v>2000</v>
      </c>
      <c r="K9" s="55"/>
      <c r="L9" s="55"/>
      <c r="M9" s="14">
        <v>7</v>
      </c>
      <c r="N9" s="15">
        <v>4700</v>
      </c>
    </row>
    <row r="10" spans="2:20" x14ac:dyDescent="0.25">
      <c r="I10" s="14">
        <v>8</v>
      </c>
      <c r="J10" s="17">
        <v>2000</v>
      </c>
      <c r="L10" s="55"/>
      <c r="M10" s="14">
        <v>8</v>
      </c>
      <c r="N10" s="15">
        <v>4700</v>
      </c>
    </row>
    <row r="11" spans="2:20" x14ac:dyDescent="0.25">
      <c r="I11" s="14">
        <v>9</v>
      </c>
      <c r="J11" s="17">
        <v>2000</v>
      </c>
      <c r="L11" s="55"/>
      <c r="M11" s="14">
        <v>9</v>
      </c>
      <c r="N11" s="15">
        <v>4700</v>
      </c>
    </row>
    <row r="12" spans="2:20" x14ac:dyDescent="0.25">
      <c r="I12" s="14">
        <v>10</v>
      </c>
      <c r="J12" s="17">
        <v>2000</v>
      </c>
      <c r="L12" s="55"/>
      <c r="M12" s="14">
        <v>10</v>
      </c>
      <c r="N12" s="15">
        <f>4700+10705</f>
        <v>15405</v>
      </c>
      <c r="P12" s="99" t="s">
        <v>0</v>
      </c>
      <c r="Q12" s="99"/>
    </row>
    <row r="13" spans="2:20" ht="5.45" customHeight="1" x14ac:dyDescent="0.25">
      <c r="P13" s="99"/>
      <c r="Q13" s="99"/>
    </row>
    <row r="14" spans="2:20" ht="15.95" customHeight="1" x14ac:dyDescent="0.25">
      <c r="E14" s="95" t="s">
        <v>0</v>
      </c>
      <c r="F14" s="95"/>
      <c r="I14" s="95" t="s">
        <v>0</v>
      </c>
      <c r="J14" s="95"/>
      <c r="K14" s="55"/>
      <c r="L14" s="55"/>
      <c r="M14" s="95" t="s">
        <v>1</v>
      </c>
      <c r="N14" s="95"/>
      <c r="P14" s="18" t="s">
        <v>64</v>
      </c>
      <c r="Q14" s="20">
        <f>-PMT(N15,10,-30000)</f>
        <v>-4470.884660912262</v>
      </c>
    </row>
    <row r="15" spans="2:20" ht="16.5" customHeight="1" x14ac:dyDescent="0.25">
      <c r="E15" s="18" t="s">
        <v>64</v>
      </c>
      <c r="F15" s="20">
        <f>-PMT(J15,10,-10000)</f>
        <v>-1490.2948869707541</v>
      </c>
      <c r="I15" s="14" t="s">
        <v>4</v>
      </c>
      <c r="J15" s="16">
        <v>0.08</v>
      </c>
      <c r="K15" s="55"/>
      <c r="M15" s="14" t="s">
        <v>4</v>
      </c>
      <c r="N15" s="16">
        <v>0.08</v>
      </c>
      <c r="P15" s="18" t="s">
        <v>42</v>
      </c>
      <c r="Q15" s="17">
        <v>4700</v>
      </c>
    </row>
    <row r="16" spans="2:20" ht="15.75" thickBot="1" x14ac:dyDescent="0.3">
      <c r="E16" s="122" t="s">
        <v>42</v>
      </c>
      <c r="F16" s="123">
        <v>2000</v>
      </c>
      <c r="I16" s="14" t="s">
        <v>8</v>
      </c>
      <c r="J16" s="19">
        <f>-PMT(J15,10,J2)+J3</f>
        <v>509.70511302924592</v>
      </c>
      <c r="M16" s="14" t="s">
        <v>8</v>
      </c>
      <c r="N16" s="80">
        <f>-PMT(N15,10,-30000,10705)+N3</f>
        <v>968.07601558992974</v>
      </c>
      <c r="P16" s="122" t="s">
        <v>66</v>
      </c>
      <c r="Q16" s="123">
        <f>-PMT(N15,10,,10705)</f>
        <v>738.9606765021922</v>
      </c>
    </row>
    <row r="17" spans="2:18" x14ac:dyDescent="0.25">
      <c r="E17" s="124" t="s">
        <v>8</v>
      </c>
      <c r="F17" s="125">
        <f>F16+F15</f>
        <v>509.70511302924592</v>
      </c>
      <c r="P17" s="124" t="s">
        <v>8</v>
      </c>
      <c r="Q17" s="126">
        <f>Q14+Q15+Q16</f>
        <v>968.07601558993019</v>
      </c>
    </row>
    <row r="18" spans="2:18" x14ac:dyDescent="0.25">
      <c r="F18" s="85" t="s">
        <v>56</v>
      </c>
      <c r="Q18" s="85" t="s">
        <v>56</v>
      </c>
      <c r="R18" s="79"/>
    </row>
    <row r="19" spans="2:18" x14ac:dyDescent="0.25">
      <c r="F19" s="85" t="s">
        <v>65</v>
      </c>
      <c r="Q19" s="85" t="s">
        <v>67</v>
      </c>
      <c r="R19" s="79"/>
    </row>
    <row r="20" spans="2:18" ht="18.75" x14ac:dyDescent="0.3">
      <c r="B20" s="98"/>
      <c r="C20" s="98"/>
      <c r="D20" s="98"/>
      <c r="E20" s="98"/>
      <c r="Q20" s="96" t="s">
        <v>62</v>
      </c>
      <c r="R20" s="96"/>
    </row>
    <row r="22" spans="2:18" x14ac:dyDescent="0.25">
      <c r="H22" s="62"/>
      <c r="I22" s="57"/>
      <c r="J22" s="57"/>
    </row>
    <row r="23" spans="2:18" x14ac:dyDescent="0.25">
      <c r="H23" s="62"/>
      <c r="I23" s="57"/>
      <c r="J23" s="63"/>
    </row>
    <row r="24" spans="2:18" x14ac:dyDescent="0.25">
      <c r="H24" s="62"/>
      <c r="I24" s="57"/>
      <c r="J24" s="64"/>
    </row>
    <row r="25" spans="2:18" x14ac:dyDescent="0.25">
      <c r="H25" s="62"/>
      <c r="I25" s="57"/>
      <c r="J25" s="64"/>
    </row>
    <row r="26" spans="2:18" x14ac:dyDescent="0.25">
      <c r="H26" s="62"/>
      <c r="I26" s="57"/>
      <c r="J26" s="64"/>
    </row>
    <row r="27" spans="2:18" x14ac:dyDescent="0.25">
      <c r="H27" s="62"/>
      <c r="I27" s="57"/>
      <c r="J27" s="64"/>
    </row>
    <row r="28" spans="2:18" x14ac:dyDescent="0.25">
      <c r="H28" s="62"/>
      <c r="I28" s="57"/>
      <c r="J28" s="64"/>
    </row>
    <row r="29" spans="2:18" x14ac:dyDescent="0.25">
      <c r="H29" s="62"/>
      <c r="I29" s="57"/>
      <c r="J29" s="64"/>
    </row>
    <row r="30" spans="2:18" x14ac:dyDescent="0.25">
      <c r="H30" s="62"/>
      <c r="I30" s="57"/>
      <c r="J30" s="64"/>
    </row>
    <row r="31" spans="2:18" x14ac:dyDescent="0.25">
      <c r="H31" s="62"/>
      <c r="I31" s="57"/>
      <c r="J31" s="64"/>
    </row>
    <row r="32" spans="2:18" x14ac:dyDescent="0.25">
      <c r="H32" s="62"/>
      <c r="I32" s="57"/>
      <c r="J32" s="64"/>
    </row>
    <row r="33" spans="8:10" x14ac:dyDescent="0.25">
      <c r="H33" s="62"/>
      <c r="I33" s="57"/>
      <c r="J33" s="64"/>
    </row>
    <row r="34" spans="8:10" x14ac:dyDescent="0.25">
      <c r="H34" s="62"/>
      <c r="I34" s="62"/>
      <c r="J34" s="62"/>
    </row>
    <row r="35" spans="8:10" x14ac:dyDescent="0.25">
      <c r="H35" s="62"/>
      <c r="I35" s="57"/>
      <c r="J35" s="60"/>
    </row>
    <row r="36" spans="8:10" x14ac:dyDescent="0.25">
      <c r="H36" s="62"/>
      <c r="I36" s="57"/>
      <c r="J36" s="65"/>
    </row>
    <row r="37" spans="8:10" x14ac:dyDescent="0.25">
      <c r="H37" s="62"/>
      <c r="I37" s="62"/>
      <c r="J37" s="65"/>
    </row>
    <row r="38" spans="8:10" x14ac:dyDescent="0.25">
      <c r="J38" s="5"/>
    </row>
  </sheetData>
  <mergeCells count="8">
    <mergeCell ref="B20:E20"/>
    <mergeCell ref="Q1:T1"/>
    <mergeCell ref="I14:J14"/>
    <mergeCell ref="M14:N14"/>
    <mergeCell ref="B2:G2"/>
    <mergeCell ref="E14:F14"/>
    <mergeCell ref="P12:Q13"/>
    <mergeCell ref="Q20:R2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8"/>
  <sheetViews>
    <sheetView zoomScale="140" zoomScaleNormal="140" workbookViewId="0">
      <selection activeCell="K21" sqref="B20:K21"/>
    </sheetView>
  </sheetViews>
  <sheetFormatPr defaultColWidth="9.140625" defaultRowHeight="15" x14ac:dyDescent="0.25"/>
  <cols>
    <col min="1" max="8" width="9.140625" style="1"/>
    <col min="9" max="9" width="14" style="1" bestFit="1" customWidth="1"/>
    <col min="10" max="10" width="7" style="1" customWidth="1"/>
    <col min="11" max="11" width="11.140625" style="1" customWidth="1"/>
    <col min="12" max="12" width="9.140625" style="1"/>
    <col min="13" max="13" width="13.85546875" style="1" customWidth="1"/>
    <col min="14" max="16384" width="9.140625" style="1"/>
  </cols>
  <sheetData>
    <row r="1" spans="2:22" x14ac:dyDescent="0.25">
      <c r="H1" s="14" t="s">
        <v>2</v>
      </c>
      <c r="I1" s="14" t="s">
        <v>3</v>
      </c>
      <c r="L1" s="14" t="s">
        <v>2</v>
      </c>
      <c r="M1" s="14" t="s">
        <v>11</v>
      </c>
    </row>
    <row r="2" spans="2:22" ht="18.75" x14ac:dyDescent="0.3">
      <c r="B2" s="98" t="s">
        <v>0</v>
      </c>
      <c r="C2" s="98"/>
      <c r="D2" s="98"/>
      <c r="E2" s="98"/>
      <c r="H2" s="14">
        <v>0</v>
      </c>
      <c r="I2" s="20">
        <v>-10000</v>
      </c>
      <c r="L2" s="14">
        <v>0</v>
      </c>
      <c r="M2" s="22">
        <v>-30000</v>
      </c>
      <c r="Q2" s="98"/>
      <c r="R2" s="98"/>
      <c r="S2" s="98"/>
    </row>
    <row r="3" spans="2:22" x14ac:dyDescent="0.25">
      <c r="H3" s="14">
        <v>1</v>
      </c>
      <c r="I3" s="17">
        <v>2000</v>
      </c>
      <c r="L3" s="14">
        <v>1</v>
      </c>
      <c r="M3" s="15">
        <v>4700</v>
      </c>
    </row>
    <row r="4" spans="2:22" x14ac:dyDescent="0.25">
      <c r="H4" s="14">
        <v>2</v>
      </c>
      <c r="I4" s="17">
        <v>2000</v>
      </c>
      <c r="L4" s="14">
        <v>2</v>
      </c>
      <c r="M4" s="15">
        <v>4700</v>
      </c>
    </row>
    <row r="5" spans="2:22" x14ac:dyDescent="0.25">
      <c r="H5" s="14">
        <v>3</v>
      </c>
      <c r="I5" s="17">
        <v>2000</v>
      </c>
      <c r="L5" s="14">
        <v>3</v>
      </c>
      <c r="M5" s="15">
        <v>4700</v>
      </c>
    </row>
    <row r="6" spans="2:22" x14ac:dyDescent="0.25">
      <c r="H6" s="14">
        <v>4</v>
      </c>
      <c r="I6" s="17">
        <v>2000</v>
      </c>
      <c r="L6" s="14">
        <v>4</v>
      </c>
      <c r="M6" s="15">
        <v>4700</v>
      </c>
    </row>
    <row r="7" spans="2:22" x14ac:dyDescent="0.25">
      <c r="H7" s="14">
        <v>5</v>
      </c>
      <c r="I7" s="17">
        <v>2000</v>
      </c>
      <c r="L7" s="14">
        <v>5</v>
      </c>
      <c r="M7" s="15">
        <v>4700</v>
      </c>
    </row>
    <row r="8" spans="2:22" x14ac:dyDescent="0.25">
      <c r="H8" s="14">
        <v>6</v>
      </c>
      <c r="I8" s="17">
        <v>2000</v>
      </c>
      <c r="L8" s="14">
        <v>6</v>
      </c>
      <c r="M8" s="15">
        <v>4700</v>
      </c>
    </row>
    <row r="9" spans="2:22" x14ac:dyDescent="0.25">
      <c r="H9" s="14">
        <v>7</v>
      </c>
      <c r="I9" s="17">
        <v>2000</v>
      </c>
      <c r="L9" s="14">
        <v>7</v>
      </c>
      <c r="M9" s="15">
        <v>4700</v>
      </c>
    </row>
    <row r="10" spans="2:22" x14ac:dyDescent="0.25">
      <c r="H10" s="14">
        <v>8</v>
      </c>
      <c r="I10" s="17">
        <v>2000</v>
      </c>
      <c r="L10" s="14">
        <v>8</v>
      </c>
      <c r="M10" s="15">
        <v>4700</v>
      </c>
    </row>
    <row r="11" spans="2:22" x14ac:dyDescent="0.25">
      <c r="H11" s="14">
        <v>9</v>
      </c>
      <c r="I11" s="17">
        <v>2000</v>
      </c>
      <c r="L11" s="14">
        <v>9</v>
      </c>
      <c r="M11" s="15">
        <v>4700</v>
      </c>
    </row>
    <row r="12" spans="2:22" x14ac:dyDescent="0.25">
      <c r="H12" s="14">
        <v>10</v>
      </c>
      <c r="I12" s="17">
        <v>2000</v>
      </c>
      <c r="L12" s="14">
        <v>10</v>
      </c>
      <c r="M12" s="15">
        <f>4700+10705</f>
        <v>15405</v>
      </c>
    </row>
    <row r="13" spans="2:22" ht="18.75" x14ac:dyDescent="0.3">
      <c r="H13" s="95" t="s">
        <v>0</v>
      </c>
      <c r="I13" s="95"/>
      <c r="L13" s="100" t="s">
        <v>1</v>
      </c>
      <c r="M13" s="100"/>
      <c r="Q13" s="23"/>
      <c r="V13" s="23"/>
    </row>
    <row r="14" spans="2:22" x14ac:dyDescent="0.25">
      <c r="G14" s="4"/>
      <c r="H14" s="14" t="s">
        <v>4</v>
      </c>
      <c r="I14" s="16">
        <v>0.08</v>
      </c>
      <c r="J14" s="4"/>
      <c r="L14" s="14" t="s">
        <v>4</v>
      </c>
      <c r="M14" s="16">
        <v>0.08</v>
      </c>
    </row>
    <row r="15" spans="2:22" x14ac:dyDescent="0.25">
      <c r="G15" s="4"/>
      <c r="H15" s="14" t="s">
        <v>9</v>
      </c>
      <c r="I15" s="87">
        <f>IRR(I2:I12)</f>
        <v>0.15098414477083444</v>
      </c>
      <c r="J15" s="79" t="s">
        <v>56</v>
      </c>
      <c r="L15" s="14" t="s">
        <v>9</v>
      </c>
      <c r="M15" s="87">
        <f>IRR(M2:M12)</f>
        <v>0.12001987333000819</v>
      </c>
      <c r="N15" s="79" t="s">
        <v>56</v>
      </c>
    </row>
    <row r="16" spans="2:22" x14ac:dyDescent="0.25">
      <c r="H16" s="112"/>
      <c r="I16" s="112"/>
      <c r="M16" s="86"/>
    </row>
    <row r="21" spans="2:10" ht="18.75" x14ac:dyDescent="0.3">
      <c r="B21" s="98"/>
      <c r="C21" s="98"/>
      <c r="D21" s="98"/>
      <c r="E21" s="98"/>
    </row>
    <row r="23" spans="2:10" x14ac:dyDescent="0.25">
      <c r="J23" s="8"/>
    </row>
    <row r="24" spans="2:10" x14ac:dyDescent="0.25">
      <c r="J24" s="8"/>
    </row>
    <row r="25" spans="2:10" x14ac:dyDescent="0.25">
      <c r="J25" s="8"/>
    </row>
    <row r="26" spans="2:10" x14ac:dyDescent="0.25">
      <c r="J26" s="8"/>
    </row>
    <row r="27" spans="2:10" x14ac:dyDescent="0.25">
      <c r="J27" s="8"/>
    </row>
    <row r="28" spans="2:10" x14ac:dyDescent="0.25">
      <c r="J28" s="8"/>
    </row>
    <row r="29" spans="2:10" x14ac:dyDescent="0.25">
      <c r="J29" s="8"/>
    </row>
    <row r="30" spans="2:10" x14ac:dyDescent="0.25">
      <c r="J30" s="8"/>
    </row>
    <row r="31" spans="2:10" x14ac:dyDescent="0.25">
      <c r="J31" s="8"/>
    </row>
    <row r="32" spans="2:10" x14ac:dyDescent="0.25">
      <c r="J32" s="8"/>
    </row>
    <row r="33" spans="8:10" x14ac:dyDescent="0.25">
      <c r="J33" s="8"/>
    </row>
    <row r="34" spans="8:10" x14ac:dyDescent="0.25">
      <c r="J34" s="8"/>
    </row>
    <row r="35" spans="8:10" x14ac:dyDescent="0.25">
      <c r="J35" s="8"/>
    </row>
    <row r="36" spans="8:10" x14ac:dyDescent="0.25">
      <c r="J36" s="10"/>
    </row>
    <row r="37" spans="8:10" x14ac:dyDescent="0.25">
      <c r="J37" s="10"/>
    </row>
    <row r="38" spans="8:10" x14ac:dyDescent="0.25">
      <c r="H38" s="2"/>
      <c r="I38" s="9"/>
      <c r="J38" s="2"/>
    </row>
  </sheetData>
  <mergeCells count="6">
    <mergeCell ref="B2:E2"/>
    <mergeCell ref="B21:E21"/>
    <mergeCell ref="Q2:S2"/>
    <mergeCell ref="H13:I13"/>
    <mergeCell ref="L13:M13"/>
    <mergeCell ref="H16:I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T45"/>
  <sheetViews>
    <sheetView topLeftCell="A4" zoomScaleNormal="100" workbookViewId="0">
      <selection activeCell="Q23" sqref="Q23"/>
    </sheetView>
  </sheetViews>
  <sheetFormatPr defaultColWidth="9.140625" defaultRowHeight="15" x14ac:dyDescent="0.25"/>
  <cols>
    <col min="1" max="11" width="9.140625" style="1"/>
    <col min="12" max="12" width="12.5703125" style="1" bestFit="1" customWidth="1"/>
    <col min="13" max="15" width="9.140625" style="1"/>
    <col min="16" max="16" width="22.5703125" style="1" customWidth="1"/>
    <col min="17" max="17" width="24" style="1" customWidth="1"/>
    <col min="18" max="18" width="28.5703125" style="1" customWidth="1"/>
    <col min="19" max="16384" width="9.140625" style="1"/>
  </cols>
  <sheetData>
    <row r="1" spans="3:18" ht="21" x14ac:dyDescent="0.35">
      <c r="C1" s="98" t="s">
        <v>10</v>
      </c>
      <c r="D1" s="98"/>
      <c r="E1" s="98"/>
      <c r="F1" s="98"/>
      <c r="G1" s="98"/>
      <c r="H1" s="98"/>
      <c r="I1" s="98"/>
      <c r="J1" s="98"/>
      <c r="K1" s="98"/>
      <c r="L1" s="98"/>
      <c r="O1" s="68"/>
      <c r="P1" s="69" t="s">
        <v>1</v>
      </c>
      <c r="Q1" s="69" t="s">
        <v>0</v>
      </c>
      <c r="R1" s="56"/>
    </row>
    <row r="2" spans="3:18" ht="21" x14ac:dyDescent="0.35">
      <c r="K2" s="7"/>
      <c r="L2" s="7"/>
      <c r="M2" s="7"/>
      <c r="N2" s="7"/>
      <c r="O2" s="69" t="s">
        <v>2</v>
      </c>
      <c r="P2" s="69" t="s">
        <v>11</v>
      </c>
      <c r="Q2" s="69" t="s">
        <v>12</v>
      </c>
      <c r="R2" s="69" t="s">
        <v>16</v>
      </c>
    </row>
    <row r="3" spans="3:18" ht="21" x14ac:dyDescent="0.35">
      <c r="O3" s="69">
        <v>0</v>
      </c>
      <c r="P3" s="70">
        <v>-30000</v>
      </c>
      <c r="Q3" s="70">
        <v>-10000</v>
      </c>
      <c r="R3" s="71">
        <f>P3-Q3</f>
        <v>-20000</v>
      </c>
    </row>
    <row r="4" spans="3:18" ht="21" x14ac:dyDescent="0.35">
      <c r="O4" s="69">
        <v>1</v>
      </c>
      <c r="P4" s="72">
        <v>4700</v>
      </c>
      <c r="Q4" s="72">
        <v>2000</v>
      </c>
      <c r="R4" s="73">
        <f>P4-Q4</f>
        <v>2700</v>
      </c>
    </row>
    <row r="5" spans="3:18" ht="21" x14ac:dyDescent="0.35">
      <c r="O5" s="69">
        <v>2</v>
      </c>
      <c r="P5" s="72">
        <v>4700</v>
      </c>
      <c r="Q5" s="72">
        <v>2000</v>
      </c>
      <c r="R5" s="73">
        <f t="shared" ref="R5:R13" si="0">P5-Q5</f>
        <v>2700</v>
      </c>
    </row>
    <row r="6" spans="3:18" ht="21" x14ac:dyDescent="0.35">
      <c r="O6" s="69">
        <v>3</v>
      </c>
      <c r="P6" s="72">
        <v>4700</v>
      </c>
      <c r="Q6" s="72">
        <v>2000</v>
      </c>
      <c r="R6" s="73">
        <f t="shared" si="0"/>
        <v>2700</v>
      </c>
    </row>
    <row r="7" spans="3:18" ht="21" x14ac:dyDescent="0.35">
      <c r="O7" s="69">
        <v>4</v>
      </c>
      <c r="P7" s="72">
        <v>4700</v>
      </c>
      <c r="Q7" s="72">
        <v>2000</v>
      </c>
      <c r="R7" s="73">
        <f t="shared" si="0"/>
        <v>2700</v>
      </c>
    </row>
    <row r="8" spans="3:18" ht="21" x14ac:dyDescent="0.35">
      <c r="O8" s="69">
        <v>5</v>
      </c>
      <c r="P8" s="72">
        <v>4700</v>
      </c>
      <c r="Q8" s="72">
        <v>2000</v>
      </c>
      <c r="R8" s="73">
        <f t="shared" si="0"/>
        <v>2700</v>
      </c>
    </row>
    <row r="9" spans="3:18" ht="21" x14ac:dyDescent="0.35">
      <c r="O9" s="69">
        <v>6</v>
      </c>
      <c r="P9" s="72">
        <v>4700</v>
      </c>
      <c r="Q9" s="72">
        <v>2000</v>
      </c>
      <c r="R9" s="73">
        <f t="shared" si="0"/>
        <v>2700</v>
      </c>
    </row>
    <row r="10" spans="3:18" ht="21" x14ac:dyDescent="0.35">
      <c r="O10" s="69">
        <v>7</v>
      </c>
      <c r="P10" s="72">
        <v>4700</v>
      </c>
      <c r="Q10" s="72">
        <v>2000</v>
      </c>
      <c r="R10" s="73">
        <f t="shared" si="0"/>
        <v>2700</v>
      </c>
    </row>
    <row r="11" spans="3:18" ht="21" x14ac:dyDescent="0.35">
      <c r="O11" s="69">
        <v>8</v>
      </c>
      <c r="P11" s="72">
        <v>4700</v>
      </c>
      <c r="Q11" s="72">
        <v>2000</v>
      </c>
      <c r="R11" s="73">
        <f t="shared" si="0"/>
        <v>2700</v>
      </c>
    </row>
    <row r="12" spans="3:18" ht="21" x14ac:dyDescent="0.35">
      <c r="O12" s="69">
        <v>9</v>
      </c>
      <c r="P12" s="72">
        <v>4700</v>
      </c>
      <c r="Q12" s="72">
        <v>2000</v>
      </c>
      <c r="R12" s="73">
        <f t="shared" si="0"/>
        <v>2700</v>
      </c>
    </row>
    <row r="13" spans="3:18" ht="21" x14ac:dyDescent="0.35">
      <c r="J13" s="104" t="s">
        <v>44</v>
      </c>
      <c r="K13" s="104"/>
      <c r="L13" s="104"/>
      <c r="M13" s="104"/>
      <c r="O13" s="69">
        <v>10</v>
      </c>
      <c r="P13" s="72">
        <f>4700+10705</f>
        <v>15405</v>
      </c>
      <c r="Q13" s="72">
        <v>2000</v>
      </c>
      <c r="R13" s="73">
        <f t="shared" si="0"/>
        <v>13405</v>
      </c>
    </row>
    <row r="14" spans="3:18" ht="21" x14ac:dyDescent="0.35">
      <c r="J14" s="104" t="s">
        <v>45</v>
      </c>
      <c r="K14" s="104"/>
      <c r="L14" s="104"/>
      <c r="M14" s="104"/>
      <c r="O14" s="69" t="s">
        <v>9</v>
      </c>
      <c r="P14" s="111">
        <f>IRR(P3:P13)</f>
        <v>0.12001987333000819</v>
      </c>
      <c r="Q14" s="111">
        <f>IRR(Q3:Q13)</f>
        <v>0.15098414477083444</v>
      </c>
      <c r="R14" s="88">
        <f>IRR(R3:R13)</f>
        <v>0.10677218000399424</v>
      </c>
    </row>
    <row r="15" spans="3:18" ht="21" x14ac:dyDescent="0.35">
      <c r="O15" s="69" t="s">
        <v>4</v>
      </c>
      <c r="P15" s="74">
        <v>0.08</v>
      </c>
      <c r="Q15" s="74">
        <v>0.08</v>
      </c>
      <c r="R15" s="74">
        <v>0.08</v>
      </c>
    </row>
    <row r="18" spans="3:20" ht="21" x14ac:dyDescent="0.35">
      <c r="P18" s="72" t="s">
        <v>68</v>
      </c>
      <c r="Q18" s="105" t="s">
        <v>69</v>
      </c>
      <c r="R18" s="105"/>
      <c r="S18" s="106" t="s">
        <v>1</v>
      </c>
      <c r="T18" s="106"/>
    </row>
    <row r="19" spans="3:20" ht="21" x14ac:dyDescent="0.35">
      <c r="O19" s="72" t="s">
        <v>70</v>
      </c>
      <c r="P19" s="72" t="s">
        <v>71</v>
      </c>
      <c r="Q19" s="101" t="s">
        <v>72</v>
      </c>
      <c r="R19" s="102"/>
      <c r="S19" s="103" t="s">
        <v>0</v>
      </c>
      <c r="T19" s="103"/>
    </row>
    <row r="20" spans="3:20" ht="21" x14ac:dyDescent="0.35">
      <c r="O20" s="72" t="s">
        <v>70</v>
      </c>
      <c r="P20" s="72" t="s">
        <v>73</v>
      </c>
      <c r="Q20" s="101" t="s">
        <v>74</v>
      </c>
      <c r="R20" s="102"/>
      <c r="S20" s="103" t="s">
        <v>75</v>
      </c>
      <c r="T20" s="103"/>
    </row>
    <row r="23" spans="3:20" ht="23.25" x14ac:dyDescent="0.35">
      <c r="C23" s="46" t="s">
        <v>1</v>
      </c>
    </row>
    <row r="43" spans="3:12" ht="23.25" x14ac:dyDescent="0.35">
      <c r="C43" s="46" t="s">
        <v>0</v>
      </c>
    </row>
    <row r="45" spans="3:12" x14ac:dyDescent="0.25">
      <c r="L45" s="67"/>
    </row>
  </sheetData>
  <mergeCells count="9">
    <mergeCell ref="Q19:R19"/>
    <mergeCell ref="S19:T19"/>
    <mergeCell ref="Q20:R20"/>
    <mergeCell ref="S20:T20"/>
    <mergeCell ref="C1:L1"/>
    <mergeCell ref="J13:M13"/>
    <mergeCell ref="J14:M14"/>
    <mergeCell ref="Q18:R18"/>
    <mergeCell ref="S18:T18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3"/>
  <sheetViews>
    <sheetView tabSelected="1" zoomScale="160" zoomScaleNormal="160" workbookViewId="0">
      <selection activeCell="R17" sqref="R17"/>
    </sheetView>
  </sheetViews>
  <sheetFormatPr defaultColWidth="9.140625" defaultRowHeight="15" x14ac:dyDescent="0.25"/>
  <cols>
    <col min="1" max="1" width="7.85546875" style="1" customWidth="1"/>
    <col min="2" max="2" width="13.28515625" style="1" bestFit="1" customWidth="1"/>
    <col min="3" max="3" width="13.85546875" style="1" customWidth="1"/>
    <col min="4" max="4" width="4.28515625" style="1" customWidth="1"/>
    <col min="5" max="5" width="9.140625" style="1"/>
    <col min="6" max="7" width="13.28515625" style="1" bestFit="1" customWidth="1"/>
    <col min="8" max="15" width="9.140625" style="1"/>
    <col min="16" max="16" width="8.42578125" style="1" customWidth="1"/>
    <col min="17" max="17" width="7.7109375" style="1" customWidth="1"/>
    <col min="18" max="16384" width="9.140625" style="1"/>
  </cols>
  <sheetData>
    <row r="2" spans="1:7" x14ac:dyDescent="0.25">
      <c r="A2" s="14" t="s">
        <v>2</v>
      </c>
      <c r="B2" s="14" t="s">
        <v>1</v>
      </c>
      <c r="C2" s="14" t="s">
        <v>0</v>
      </c>
      <c r="E2" s="14" t="s">
        <v>4</v>
      </c>
      <c r="F2" s="14" t="s">
        <v>13</v>
      </c>
      <c r="G2" s="14" t="s">
        <v>14</v>
      </c>
    </row>
    <row r="3" spans="1:7" x14ac:dyDescent="0.25">
      <c r="A3" s="14">
        <v>0</v>
      </c>
      <c r="B3" s="22">
        <v>-30000</v>
      </c>
      <c r="C3" s="22">
        <v>-10000</v>
      </c>
      <c r="E3" s="13">
        <v>0</v>
      </c>
      <c r="F3" s="90">
        <f>NPV(E3,$B$4:$B$13)+$B$3</f>
        <v>27705</v>
      </c>
      <c r="G3" s="11">
        <f>NPV(E3,$C$4:$C$13)+$C$3</f>
        <v>10000</v>
      </c>
    </row>
    <row r="4" spans="1:7" x14ac:dyDescent="0.25">
      <c r="A4" s="14">
        <v>1</v>
      </c>
      <c r="B4" s="15">
        <v>4700</v>
      </c>
      <c r="C4" s="15">
        <v>2000</v>
      </c>
      <c r="E4" s="13">
        <v>1E-3</v>
      </c>
      <c r="F4" s="90">
        <f t="shared" ref="F4:F67" si="0">NPV(E4,$B$4:$B$13)+$B$3</f>
        <v>27341.067076418665</v>
      </c>
      <c r="G4" s="11">
        <f t="shared" ref="G4:G67" si="1">NPV(E4,$C$4:$C$13)+$C$3</f>
        <v>9890.4385739940226</v>
      </c>
    </row>
    <row r="5" spans="1:7" x14ac:dyDescent="0.25">
      <c r="A5" s="14">
        <v>2</v>
      </c>
      <c r="B5" s="15">
        <v>4700</v>
      </c>
      <c r="C5" s="15">
        <v>2000</v>
      </c>
      <c r="E5" s="13">
        <v>2E-3</v>
      </c>
      <c r="F5" s="90">
        <f t="shared" si="0"/>
        <v>26980.345646783884</v>
      </c>
      <c r="G5" s="11">
        <f t="shared" si="1"/>
        <v>9781.7486237451376</v>
      </c>
    </row>
    <row r="6" spans="1:7" x14ac:dyDescent="0.25">
      <c r="A6" s="14">
        <v>3</v>
      </c>
      <c r="B6" s="15">
        <v>4700</v>
      </c>
      <c r="C6" s="15">
        <v>2000</v>
      </c>
      <c r="E6" s="13">
        <v>3.0000000000000001E-3</v>
      </c>
      <c r="F6" s="90">
        <f t="shared" si="0"/>
        <v>26622.80202509521</v>
      </c>
      <c r="G6" s="11">
        <f t="shared" si="1"/>
        <v>9673.921711908155</v>
      </c>
    </row>
    <row r="7" spans="1:7" x14ac:dyDescent="0.25">
      <c r="A7" s="14">
        <v>4</v>
      </c>
      <c r="B7" s="15">
        <v>4700</v>
      </c>
      <c r="C7" s="15">
        <v>2000</v>
      </c>
      <c r="E7" s="13">
        <v>4.0000000000000001E-3</v>
      </c>
      <c r="F7" s="90">
        <f t="shared" si="0"/>
        <v>26268.402924251612</v>
      </c>
      <c r="G7" s="11">
        <f t="shared" si="1"/>
        <v>9566.9494948666834</v>
      </c>
    </row>
    <row r="8" spans="1:7" x14ac:dyDescent="0.25">
      <c r="A8" s="14">
        <v>5</v>
      </c>
      <c r="B8" s="15">
        <v>4700</v>
      </c>
      <c r="C8" s="15">
        <v>2000</v>
      </c>
      <c r="E8" s="13">
        <v>5.0000000000000001E-3</v>
      </c>
      <c r="F8" s="90">
        <f t="shared" si="0"/>
        <v>25917.115450846817</v>
      </c>
      <c r="G8" s="11">
        <f t="shared" si="1"/>
        <v>9460.8237215725057</v>
      </c>
    </row>
    <row r="9" spans="1:7" x14ac:dyDescent="0.25">
      <c r="A9" s="14">
        <v>6</v>
      </c>
      <c r="B9" s="15">
        <v>4700</v>
      </c>
      <c r="C9" s="15">
        <v>2000</v>
      </c>
      <c r="E9" s="13">
        <v>6.0000000000000001E-3</v>
      </c>
      <c r="F9" s="90">
        <f t="shared" si="0"/>
        <v>25568.907100037119</v>
      </c>
      <c r="G9" s="11">
        <f t="shared" si="1"/>
        <v>9355.5362324002781</v>
      </c>
    </row>
    <row r="10" spans="1:7" x14ac:dyDescent="0.25">
      <c r="A10" s="14">
        <v>7</v>
      </c>
      <c r="B10" s="15">
        <v>4700</v>
      </c>
      <c r="C10" s="15">
        <v>2000</v>
      </c>
      <c r="E10" s="13">
        <v>7.0000000000000001E-3</v>
      </c>
      <c r="F10" s="90">
        <f t="shared" si="0"/>
        <v>25223.745750483373</v>
      </c>
      <c r="G10" s="11">
        <f t="shared" si="1"/>
        <v>9251.0789580182645</v>
      </c>
    </row>
    <row r="11" spans="1:7" x14ac:dyDescent="0.25">
      <c r="A11" s="14">
        <v>8</v>
      </c>
      <c r="B11" s="15">
        <v>4700</v>
      </c>
      <c r="C11" s="15">
        <v>2000</v>
      </c>
      <c r="E11" s="13">
        <v>8.0000000000000002E-3</v>
      </c>
      <c r="F11" s="90">
        <f t="shared" si="0"/>
        <v>24881.599659362975</v>
      </c>
      <c r="G11" s="11">
        <f t="shared" si="1"/>
        <v>9147.4439182738133</v>
      </c>
    </row>
    <row r="12" spans="1:7" x14ac:dyDescent="0.25">
      <c r="A12" s="14">
        <v>9</v>
      </c>
      <c r="B12" s="15">
        <v>4700</v>
      </c>
      <c r="C12" s="15">
        <v>2000</v>
      </c>
      <c r="E12" s="13">
        <v>8.9999999999999993E-3</v>
      </c>
      <c r="F12" s="90">
        <f t="shared" si="0"/>
        <v>24542.437457453823</v>
      </c>
      <c r="G12" s="11">
        <f t="shared" si="1"/>
        <v>9044.6232210944618</v>
      </c>
    </row>
    <row r="13" spans="1:7" x14ac:dyDescent="0.25">
      <c r="A13" s="14">
        <v>10</v>
      </c>
      <c r="B13" s="15">
        <f>4700+10705</f>
        <v>15405</v>
      </c>
      <c r="C13" s="15">
        <v>2000</v>
      </c>
      <c r="E13" s="13">
        <v>0.01</v>
      </c>
      <c r="F13" s="90">
        <f t="shared" si="0"/>
        <v>24206.228144286237</v>
      </c>
      <c r="G13" s="11">
        <f t="shared" si="1"/>
        <v>8942.6090614033419</v>
      </c>
    </row>
    <row r="14" spans="1:7" x14ac:dyDescent="0.25">
      <c r="E14" s="13">
        <v>1.0999999999999999E-2</v>
      </c>
      <c r="F14" s="90">
        <f t="shared" si="0"/>
        <v>23872.941083364734</v>
      </c>
      <c r="G14" s="11">
        <f t="shared" si="1"/>
        <v>8841.3937200497676</v>
      </c>
    </row>
    <row r="15" spans="1:7" x14ac:dyDescent="0.25">
      <c r="E15" s="13">
        <v>1.2E-2</v>
      </c>
      <c r="F15" s="90">
        <f t="shared" si="0"/>
        <v>23542.545997455592</v>
      </c>
      <c r="G15" s="11">
        <f t="shared" si="1"/>
        <v>8740.9695627537258</v>
      </c>
    </row>
    <row r="16" spans="1:7" x14ac:dyDescent="0.25">
      <c r="E16" s="13">
        <v>1.2999999999999999E-2</v>
      </c>
      <c r="F16" s="90">
        <f t="shared" si="0"/>
        <v>23215.012963942114</v>
      </c>
      <c r="G16" s="11">
        <f t="shared" si="1"/>
        <v>8641.32903906504</v>
      </c>
    </row>
    <row r="17" spans="5:10" x14ac:dyDescent="0.25">
      <c r="E17" s="13">
        <v>1.4E-2</v>
      </c>
      <c r="F17" s="90">
        <f t="shared" si="0"/>
        <v>22890.312410243954</v>
      </c>
      <c r="G17" s="11">
        <f t="shared" si="1"/>
        <v>8542.4646813361178</v>
      </c>
      <c r="J17" s="4" t="s">
        <v>76</v>
      </c>
    </row>
    <row r="18" spans="5:10" x14ac:dyDescent="0.25">
      <c r="E18" s="13">
        <v>1.4999999999999999E-2</v>
      </c>
      <c r="F18" s="90">
        <f t="shared" si="0"/>
        <v>22568.415109301866</v>
      </c>
      <c r="G18" s="11">
        <f t="shared" si="1"/>
        <v>8444.3691037088829</v>
      </c>
      <c r="J18" s="4" t="s">
        <v>77</v>
      </c>
    </row>
    <row r="19" spans="5:10" x14ac:dyDescent="0.25">
      <c r="E19" s="13">
        <v>1.6E-2</v>
      </c>
      <c r="F19" s="90">
        <f t="shared" si="0"/>
        <v>22249.292175124567</v>
      </c>
      <c r="G19" s="11">
        <f t="shared" si="1"/>
        <v>8347.035001114913</v>
      </c>
      <c r="J19" s="4" t="s">
        <v>78</v>
      </c>
    </row>
    <row r="20" spans="5:10" x14ac:dyDescent="0.25">
      <c r="E20" s="13">
        <v>1.7000000000000001E-2</v>
      </c>
      <c r="F20" s="90">
        <f t="shared" si="0"/>
        <v>21932.915058399441</v>
      </c>
      <c r="G20" s="11">
        <f t="shared" si="1"/>
        <v>8250.455148289424</v>
      </c>
      <c r="J20" s="4" t="s">
        <v>79</v>
      </c>
    </row>
    <row r="21" spans="5:10" x14ac:dyDescent="0.25">
      <c r="E21" s="13">
        <v>1.7999999999999999E-2</v>
      </c>
      <c r="F21" s="90">
        <f t="shared" si="0"/>
        <v>21619.255542163024</v>
      </c>
      <c r="G21" s="11">
        <f t="shared" si="1"/>
        <v>8154.6223987979647</v>
      </c>
    </row>
    <row r="22" spans="5:10" x14ac:dyDescent="0.25">
      <c r="E22" s="13">
        <v>1.9E-2</v>
      </c>
      <c r="F22" s="90">
        <f t="shared" si="0"/>
        <v>21308.285737533603</v>
      </c>
      <c r="G22" s="11">
        <f t="shared" si="1"/>
        <v>8059.5296840765841</v>
      </c>
    </row>
    <row r="23" spans="5:10" x14ac:dyDescent="0.25">
      <c r="E23" s="13">
        <v>0.02</v>
      </c>
      <c r="F23" s="90">
        <f t="shared" si="0"/>
        <v>20999.978079502034</v>
      </c>
      <c r="G23" s="11">
        <f t="shared" si="1"/>
        <v>7965.170012484472</v>
      </c>
    </row>
    <row r="24" spans="5:10" x14ac:dyDescent="0.25">
      <c r="E24" s="13">
        <v>2.1000000000000001E-2</v>
      </c>
      <c r="F24" s="90">
        <f t="shared" si="0"/>
        <v>20694.305322782369</v>
      </c>
      <c r="G24" s="11">
        <f t="shared" si="1"/>
        <v>7871.5364683694752</v>
      </c>
    </row>
    <row r="25" spans="5:10" x14ac:dyDescent="0.25">
      <c r="E25" s="13">
        <v>2.1999999999999999E-2</v>
      </c>
      <c r="F25" s="90">
        <f t="shared" si="0"/>
        <v>20391.240537719321</v>
      </c>
      <c r="G25" s="11">
        <f t="shared" si="1"/>
        <v>7778.6222111458701</v>
      </c>
    </row>
    <row r="26" spans="5:10" x14ac:dyDescent="0.25">
      <c r="E26" s="13">
        <v>2.3E-2</v>
      </c>
      <c r="F26" s="90">
        <f t="shared" si="0"/>
        <v>20090.757106253681</v>
      </c>
      <c r="G26" s="11">
        <f t="shared" si="1"/>
        <v>7686.4204743846676</v>
      </c>
    </row>
    <row r="27" spans="5:10" x14ac:dyDescent="0.25">
      <c r="E27" s="13">
        <v>2.4E-2</v>
      </c>
      <c r="F27" s="90">
        <f t="shared" si="0"/>
        <v>19792.828717942779</v>
      </c>
      <c r="G27" s="11">
        <f t="shared" si="1"/>
        <v>7594.9245649156801</v>
      </c>
    </row>
    <row r="28" spans="5:10" x14ac:dyDescent="0.25">
      <c r="E28" s="13">
        <v>2.5000000000000001E-2</v>
      </c>
      <c r="F28" s="90">
        <f t="shared" si="0"/>
        <v>19497.429366037315</v>
      </c>
      <c r="G28" s="11">
        <f t="shared" si="1"/>
        <v>7504.1278619418772</v>
      </c>
    </row>
    <row r="29" spans="5:10" x14ac:dyDescent="0.25">
      <c r="E29" s="13">
        <v>2.5999999999999999E-2</v>
      </c>
      <c r="F29" s="90">
        <f t="shared" si="0"/>
        <v>19204.533343611474</v>
      </c>
      <c r="G29" s="11">
        <f t="shared" si="1"/>
        <v>7414.0238161651432</v>
      </c>
    </row>
    <row r="30" spans="5:10" x14ac:dyDescent="0.25">
      <c r="E30" s="13">
        <v>2.7E-2</v>
      </c>
      <c r="F30" s="90">
        <f t="shared" si="0"/>
        <v>18914.115239747713</v>
      </c>
      <c r="G30" s="11">
        <f t="shared" si="1"/>
        <v>7324.6059489239669</v>
      </c>
    </row>
    <row r="31" spans="5:10" x14ac:dyDescent="0.25">
      <c r="E31" s="13">
        <v>2.8000000000000001E-2</v>
      </c>
      <c r="F31" s="90">
        <f t="shared" si="0"/>
        <v>18626.149935773443</v>
      </c>
      <c r="G31" s="11">
        <f t="shared" si="1"/>
        <v>7235.8678513421655</v>
      </c>
    </row>
    <row r="32" spans="5:10" x14ac:dyDescent="0.25">
      <c r="E32" s="13">
        <v>2.9000000000000001E-2</v>
      </c>
      <c r="F32" s="90">
        <f t="shared" si="0"/>
        <v>18340.61260155066</v>
      </c>
      <c r="G32" s="11">
        <f t="shared" si="1"/>
        <v>7147.8031834892827</v>
      </c>
    </row>
    <row r="33" spans="5:7" x14ac:dyDescent="0.25">
      <c r="E33" s="13">
        <v>0.03</v>
      </c>
      <c r="F33" s="90">
        <f t="shared" si="0"/>
        <v>18057.478691815842</v>
      </c>
      <c r="G33" s="11">
        <f t="shared" si="1"/>
        <v>7060.4056735516569</v>
      </c>
    </row>
    <row r="34" spans="5:7" x14ac:dyDescent="0.25">
      <c r="E34" s="13">
        <v>3.1E-2</v>
      </c>
      <c r="F34" s="90">
        <f t="shared" si="0"/>
        <v>17776.72394257132</v>
      </c>
      <c r="G34" s="11">
        <f t="shared" si="1"/>
        <v>6973.6691170148042</v>
      </c>
    </row>
    <row r="35" spans="5:7" x14ac:dyDescent="0.25">
      <c r="E35" s="13">
        <v>3.2000000000000001E-2</v>
      </c>
      <c r="F35" s="90">
        <f t="shared" si="0"/>
        <v>17498.324367525507</v>
      </c>
      <c r="G35" s="11">
        <f t="shared" si="1"/>
        <v>6887.5873758562411</v>
      </c>
    </row>
    <row r="36" spans="5:7" x14ac:dyDescent="0.25">
      <c r="E36" s="13">
        <v>3.3000000000000002E-2</v>
      </c>
      <c r="F36" s="90">
        <f t="shared" si="0"/>
        <v>17222.256254582921</v>
      </c>
      <c r="G36" s="11">
        <f t="shared" si="1"/>
        <v>6802.1543777492334</v>
      </c>
    </row>
    <row r="37" spans="5:7" x14ac:dyDescent="0.25">
      <c r="E37" s="13">
        <v>3.4000000000000002E-2</v>
      </c>
      <c r="F37" s="90">
        <f t="shared" si="0"/>
        <v>16948.496162381693</v>
      </c>
      <c r="G37" s="11">
        <f t="shared" si="1"/>
        <v>6717.3641152767377</v>
      </c>
    </row>
    <row r="38" spans="5:7" x14ac:dyDescent="0.25">
      <c r="E38" s="13">
        <v>3.5000000000000003E-2</v>
      </c>
      <c r="F38" s="90">
        <f t="shared" si="0"/>
        <v>16677.020916879519</v>
      </c>
      <c r="G38" s="11">
        <f t="shared" si="1"/>
        <v>6633.2106451559157</v>
      </c>
    </row>
    <row r="39" spans="5:7" x14ac:dyDescent="0.25">
      <c r="E39" s="13">
        <v>3.5999999999999997E-2</v>
      </c>
      <c r="F39" s="90">
        <f t="shared" si="0"/>
        <v>16407.807607985509</v>
      </c>
      <c r="G39" s="11">
        <f t="shared" si="1"/>
        <v>6549.6880874725939</v>
      </c>
    </row>
    <row r="40" spans="5:7" x14ac:dyDescent="0.25">
      <c r="E40" s="13">
        <v>3.6999999999999998E-2</v>
      </c>
      <c r="F40" s="90">
        <f t="shared" si="0"/>
        <v>16140.833586239161</v>
      </c>
      <c r="G40" s="11">
        <f t="shared" si="1"/>
        <v>6466.7906249259831</v>
      </c>
    </row>
    <row r="41" spans="5:7" x14ac:dyDescent="0.25">
      <c r="E41" s="13">
        <v>3.7999999999999999E-2</v>
      </c>
      <c r="F41" s="90">
        <f t="shared" si="0"/>
        <v>15876.076459533921</v>
      </c>
      <c r="G41" s="11">
        <f t="shared" si="1"/>
        <v>6384.5125020830164</v>
      </c>
    </row>
    <row r="42" spans="5:7" x14ac:dyDescent="0.25">
      <c r="E42" s="13">
        <v>3.9E-2</v>
      </c>
      <c r="F42" s="90">
        <f t="shared" si="0"/>
        <v>15613.514089886361</v>
      </c>
      <c r="G42" s="11">
        <f t="shared" si="1"/>
        <v>6302.8480246427553</v>
      </c>
    </row>
    <row r="43" spans="5:7" x14ac:dyDescent="0.25">
      <c r="E43" s="13">
        <v>0.04</v>
      </c>
      <c r="F43" s="90">
        <f t="shared" si="0"/>
        <v>15353.124590248808</v>
      </c>
      <c r="G43" s="11">
        <f t="shared" si="1"/>
        <v>6221.7915587100542</v>
      </c>
    </row>
    <row r="44" spans="5:7" x14ac:dyDescent="0.25">
      <c r="E44" s="13">
        <v>4.1000000000000002E-2</v>
      </c>
      <c r="F44" s="90">
        <f t="shared" si="0"/>
        <v>15094.886321366066</v>
      </c>
      <c r="G44" s="11">
        <f t="shared" si="1"/>
        <v>6141.3375300790358</v>
      </c>
    </row>
    <row r="45" spans="5:7" x14ac:dyDescent="0.25">
      <c r="E45" s="13">
        <v>4.2000000000000003E-2</v>
      </c>
      <c r="F45" s="90">
        <f t="shared" si="0"/>
        <v>14838.777888674485</v>
      </c>
      <c r="G45" s="11">
        <f t="shared" si="1"/>
        <v>6061.4804235256033</v>
      </c>
    </row>
    <row r="46" spans="5:7" x14ac:dyDescent="0.25">
      <c r="E46" s="13">
        <v>4.2999999999999997E-2</v>
      </c>
      <c r="F46" s="90">
        <f t="shared" si="0"/>
        <v>14584.778139243797</v>
      </c>
      <c r="G46" s="11">
        <f t="shared" si="1"/>
        <v>5982.2147821094204</v>
      </c>
    </row>
    <row r="47" spans="5:7" x14ac:dyDescent="0.25">
      <c r="E47" s="13">
        <v>4.3999999999999997E-2</v>
      </c>
      <c r="F47" s="90">
        <f t="shared" si="0"/>
        <v>14332.866158759876</v>
      </c>
      <c r="G47" s="11">
        <f t="shared" si="1"/>
        <v>5903.5352064847229</v>
      </c>
    </row>
    <row r="48" spans="5:7" x14ac:dyDescent="0.25">
      <c r="E48" s="13">
        <v>4.4999999999999998E-2</v>
      </c>
      <c r="F48" s="90">
        <f t="shared" si="0"/>
        <v>14083.021268549404</v>
      </c>
      <c r="G48" s="11">
        <f t="shared" si="1"/>
        <v>5825.4363542203373</v>
      </c>
    </row>
    <row r="49" spans="5:7" x14ac:dyDescent="0.25">
      <c r="E49" s="13">
        <v>4.5999999999999999E-2</v>
      </c>
      <c r="F49" s="90">
        <f t="shared" si="0"/>
        <v>13835.223022643899</v>
      </c>
      <c r="G49" s="11">
        <f t="shared" si="1"/>
        <v>5747.9129391282368</v>
      </c>
    </row>
    <row r="50" spans="5:7" x14ac:dyDescent="0.25">
      <c r="E50" s="13">
        <v>4.7E-2</v>
      </c>
      <c r="F50" s="90">
        <f t="shared" si="0"/>
        <v>13589.451204884594</v>
      </c>
      <c r="G50" s="11">
        <f t="shared" si="1"/>
        <v>5670.9597306011001</v>
      </c>
    </row>
    <row r="51" spans="5:7" x14ac:dyDescent="0.25">
      <c r="E51" s="13">
        <v>4.8000000000000001E-2</v>
      </c>
      <c r="F51" s="90">
        <f t="shared" si="0"/>
        <v>13345.685826065594</v>
      </c>
      <c r="G51" s="11">
        <f t="shared" si="1"/>
        <v>5594.5715529581266</v>
      </c>
    </row>
    <row r="52" spans="5:7" x14ac:dyDescent="0.25">
      <c r="E52" s="13">
        <v>4.9000000000000002E-2</v>
      </c>
      <c r="F52" s="90">
        <f t="shared" si="0"/>
        <v>13103.907121116492</v>
      </c>
      <c r="G52" s="11">
        <f t="shared" si="1"/>
        <v>5518.7432847996133</v>
      </c>
    </row>
    <row r="53" spans="5:7" x14ac:dyDescent="0.25">
      <c r="E53" s="13">
        <v>0.05</v>
      </c>
      <c r="F53" s="90">
        <f t="shared" si="0"/>
        <v>12864.095546322445</v>
      </c>
      <c r="G53" s="11">
        <f t="shared" si="1"/>
        <v>5443.4698583696227</v>
      </c>
    </row>
    <row r="54" spans="5:7" x14ac:dyDescent="0.25">
      <c r="E54" s="13">
        <v>5.0999999999999997E-2</v>
      </c>
      <c r="F54" s="90">
        <f t="shared" si="0"/>
        <v>12626.231776582295</v>
      </c>
      <c r="G54" s="11">
        <f t="shared" si="1"/>
        <v>5368.7462589270417</v>
      </c>
    </row>
    <row r="55" spans="5:7" x14ac:dyDescent="0.25">
      <c r="E55" s="13">
        <v>5.1999999999999998E-2</v>
      </c>
      <c r="F55" s="90">
        <f t="shared" si="0"/>
        <v>12390.296702703214</v>
      </c>
      <c r="G55" s="11">
        <f t="shared" si="1"/>
        <v>5294.5675241246063</v>
      </c>
    </row>
    <row r="56" spans="5:7" x14ac:dyDescent="0.25">
      <c r="E56" s="13">
        <v>5.2999999999999999E-2</v>
      </c>
      <c r="F56" s="90">
        <f t="shared" si="0"/>
        <v>12156.271428732311</v>
      </c>
      <c r="G56" s="11">
        <f t="shared" si="1"/>
        <v>5220.9287433960671</v>
      </c>
    </row>
    <row r="57" spans="5:7" x14ac:dyDescent="0.25">
      <c r="E57" s="13">
        <v>5.3999999999999999E-2</v>
      </c>
      <c r="F57" s="90">
        <f t="shared" si="0"/>
        <v>11924.137269323517</v>
      </c>
      <c r="G57" s="11">
        <f t="shared" si="1"/>
        <v>5147.8250573510559</v>
      </c>
    </row>
    <row r="58" spans="5:7" x14ac:dyDescent="0.25">
      <c r="E58" s="13">
        <v>5.5E-2</v>
      </c>
      <c r="F58" s="90">
        <f t="shared" si="0"/>
        <v>11693.875747140686</v>
      </c>
      <c r="G58" s="11">
        <f t="shared" si="1"/>
        <v>5075.2516571779324</v>
      </c>
    </row>
    <row r="59" spans="5:7" x14ac:dyDescent="0.25">
      <c r="E59" s="13">
        <v>5.6000000000000001E-2</v>
      </c>
      <c r="F59" s="90">
        <f t="shared" si="0"/>
        <v>11465.468590294688</v>
      </c>
      <c r="G59" s="11">
        <f t="shared" si="1"/>
        <v>5003.2037840540688</v>
      </c>
    </row>
    <row r="60" spans="5:7" x14ac:dyDescent="0.25">
      <c r="E60" s="13">
        <v>5.7000000000000002E-2</v>
      </c>
      <c r="F60" s="90">
        <f t="shared" si="0"/>
        <v>11238.897729815777</v>
      </c>
      <c r="G60" s="11">
        <f t="shared" si="1"/>
        <v>4931.6767285638944</v>
      </c>
    </row>
    <row r="61" spans="5:7" x14ac:dyDescent="0.25">
      <c r="E61" s="13">
        <v>5.8000000000000003E-2</v>
      </c>
      <c r="F61" s="90">
        <f t="shared" si="0"/>
        <v>11014.145297158968</v>
      </c>
      <c r="G61" s="11">
        <f t="shared" si="1"/>
        <v>4860.6658301242078</v>
      </c>
    </row>
    <row r="62" spans="5:7" x14ac:dyDescent="0.25">
      <c r="E62" s="13">
        <v>5.8999999999999997E-2</v>
      </c>
      <c r="F62" s="90">
        <f t="shared" si="0"/>
        <v>10791.19362174366</v>
      </c>
      <c r="G62" s="11">
        <f t="shared" si="1"/>
        <v>4790.1664764170037</v>
      </c>
    </row>
    <row r="63" spans="5:7" x14ac:dyDescent="0.25">
      <c r="E63" s="13">
        <v>0.06</v>
      </c>
      <c r="F63" s="90">
        <f t="shared" si="0"/>
        <v>10570.025228525403</v>
      </c>
      <c r="G63" s="11">
        <f t="shared" si="1"/>
        <v>4720.1741028293909</v>
      </c>
    </row>
    <row r="64" spans="5:7" x14ac:dyDescent="0.25">
      <c r="E64" s="13">
        <v>6.0999999999999999E-2</v>
      </c>
      <c r="F64" s="90">
        <f t="shared" si="0"/>
        <v>10350.622835600792</v>
      </c>
      <c r="G64" s="11">
        <f t="shared" si="1"/>
        <v>4650.684191900802</v>
      </c>
    </row>
    <row r="65" spans="5:7" x14ac:dyDescent="0.25">
      <c r="E65" s="13">
        <v>6.2E-2</v>
      </c>
      <c r="F65" s="90">
        <f t="shared" si="0"/>
        <v>10132.969351843691</v>
      </c>
      <c r="G65" s="11">
        <f t="shared" si="1"/>
        <v>4581.692272777078</v>
      </c>
    </row>
    <row r="66" spans="5:7" x14ac:dyDescent="0.25">
      <c r="E66" s="13">
        <v>6.3E-2</v>
      </c>
      <c r="F66" s="90">
        <f t="shared" si="0"/>
        <v>9917.0478745735818</v>
      </c>
      <c r="G66" s="11">
        <f t="shared" si="1"/>
        <v>4513.1939206716943</v>
      </c>
    </row>
    <row r="67" spans="5:7" x14ac:dyDescent="0.25">
      <c r="E67" s="13">
        <v>6.4000000000000001E-2</v>
      </c>
      <c r="F67" s="90">
        <f t="shared" si="0"/>
        <v>9702.8416872543603</v>
      </c>
      <c r="G67" s="11">
        <f t="shared" si="1"/>
        <v>4445.1847563336196</v>
      </c>
    </row>
    <row r="68" spans="5:7" x14ac:dyDescent="0.25">
      <c r="E68" s="13">
        <v>6.5000000000000002E-2</v>
      </c>
      <c r="F68" s="90">
        <f t="shared" ref="F68:F131" si="2">NPV(E68,$B$4:$B$13)+$B$3</f>
        <v>9490.3342572244364</v>
      </c>
      <c r="G68" s="11">
        <f t="shared" ref="G68:G131" si="3">NPV(E68,$C$4:$C$13)+$C$3</f>
        <v>4377.6604455222077</v>
      </c>
    </row>
    <row r="69" spans="5:7" x14ac:dyDescent="0.25">
      <c r="E69" s="13">
        <v>6.6000000000000003E-2</v>
      </c>
      <c r="F69" s="90">
        <f t="shared" si="2"/>
        <v>9279.5092334562141</v>
      </c>
      <c r="G69" s="11">
        <f t="shared" si="3"/>
        <v>4310.6166984883894</v>
      </c>
    </row>
    <row r="70" spans="5:7" x14ac:dyDescent="0.25">
      <c r="E70" s="13">
        <v>6.7000000000000004E-2</v>
      </c>
      <c r="F70" s="90">
        <f t="shared" si="2"/>
        <v>9070.3504443461206</v>
      </c>
      <c r="G70" s="11">
        <f t="shared" si="3"/>
        <v>4244.0492694628574</v>
      </c>
    </row>
    <row r="71" spans="5:7" x14ac:dyDescent="0.25">
      <c r="E71" s="13">
        <v>6.8000000000000005E-2</v>
      </c>
      <c r="F71" s="90">
        <f t="shared" si="2"/>
        <v>8862.8418955332309</v>
      </c>
      <c r="G71" s="11">
        <f t="shared" si="3"/>
        <v>4177.9539561503243</v>
      </c>
    </row>
    <row r="72" spans="5:7" x14ac:dyDescent="0.25">
      <c r="E72" s="13">
        <v>6.9000000000000006E-2</v>
      </c>
      <c r="F72" s="90">
        <f t="shared" si="2"/>
        <v>8656.9677677474101</v>
      </c>
      <c r="G72" s="11">
        <f t="shared" si="3"/>
        <v>4112.3265992305187</v>
      </c>
    </row>
    <row r="73" spans="5:7" x14ac:dyDescent="0.25">
      <c r="E73" s="13">
        <v>7.0000000000000007E-2</v>
      </c>
      <c r="F73" s="90">
        <f t="shared" si="2"/>
        <v>8452.7124146853675</v>
      </c>
      <c r="G73" s="11">
        <f t="shared" si="3"/>
        <v>4047.1630818651975</v>
      </c>
    </row>
    <row r="74" spans="5:7" x14ac:dyDescent="0.25">
      <c r="E74" s="13">
        <v>7.0999999999999994E-2</v>
      </c>
      <c r="F74" s="90">
        <f t="shared" si="2"/>
        <v>8250.0603609153695</v>
      </c>
      <c r="G74" s="11">
        <f t="shared" si="3"/>
        <v>3982.4593292116369</v>
      </c>
    </row>
    <row r="75" spans="5:7" x14ac:dyDescent="0.25">
      <c r="E75" s="13">
        <v>7.1999999999999995E-2</v>
      </c>
      <c r="F75" s="90">
        <f t="shared" si="2"/>
        <v>8048.9962998089832</v>
      </c>
      <c r="G75" s="11">
        <f t="shared" si="3"/>
        <v>3918.2113079419869</v>
      </c>
    </row>
    <row r="76" spans="5:7" x14ac:dyDescent="0.25">
      <c r="E76" s="13">
        <v>7.2999999999999995E-2</v>
      </c>
      <c r="F76" s="90">
        <f t="shared" si="2"/>
        <v>7849.5050915008178</v>
      </c>
      <c r="G76" s="11">
        <f t="shared" si="3"/>
        <v>3854.4150257689744</v>
      </c>
    </row>
    <row r="77" spans="5:7" x14ac:dyDescent="0.25">
      <c r="E77" s="13">
        <v>7.3999999999999996E-2</v>
      </c>
      <c r="F77" s="90">
        <f t="shared" si="2"/>
        <v>7651.5717608744235</v>
      </c>
      <c r="G77" s="11">
        <f t="shared" si="3"/>
        <v>3791.0665309772576</v>
      </c>
    </row>
    <row r="78" spans="5:7" x14ac:dyDescent="0.25">
      <c r="E78" s="13">
        <v>7.4999999999999997E-2</v>
      </c>
      <c r="F78" s="90">
        <f t="shared" si="2"/>
        <v>7455.1814955754162</v>
      </c>
      <c r="G78" s="11">
        <f t="shared" si="3"/>
        <v>3728.1619119609568</v>
      </c>
    </row>
    <row r="79" spans="5:7" x14ac:dyDescent="0.25">
      <c r="E79" s="13">
        <v>7.5999999999999998E-2</v>
      </c>
      <c r="F79" s="90">
        <f t="shared" si="2"/>
        <v>7260.3196440500978</v>
      </c>
      <c r="G79" s="11">
        <f t="shared" si="3"/>
        <v>3665.6972967667371</v>
      </c>
    </row>
    <row r="80" spans="5:7" x14ac:dyDescent="0.25">
      <c r="E80" s="13">
        <v>7.6999999999999999E-2</v>
      </c>
      <c r="F80" s="90">
        <f t="shared" si="2"/>
        <v>7066.9717136103282</v>
      </c>
      <c r="G80" s="11">
        <f t="shared" si="3"/>
        <v>3603.6688526428425</v>
      </c>
    </row>
    <row r="81" spans="5:7" x14ac:dyDescent="0.25">
      <c r="E81" s="13">
        <v>7.8E-2</v>
      </c>
      <c r="F81" s="90">
        <f t="shared" si="2"/>
        <v>6875.123368523462</v>
      </c>
      <c r="G81" s="11">
        <f t="shared" si="3"/>
        <v>3542.0727855935547</v>
      </c>
    </row>
    <row r="82" spans="5:7" x14ac:dyDescent="0.25">
      <c r="E82" s="13">
        <v>7.9000000000000001E-2</v>
      </c>
      <c r="F82" s="90">
        <f t="shared" si="2"/>
        <v>6684.7604281276363</v>
      </c>
      <c r="G82" s="11">
        <f t="shared" si="3"/>
        <v>3480.9053399394361</v>
      </c>
    </row>
    <row r="83" spans="5:7" x14ac:dyDescent="0.25">
      <c r="E83" s="13">
        <v>0.08</v>
      </c>
      <c r="F83" s="90">
        <f t="shared" si="2"/>
        <v>6495.8688649713222</v>
      </c>
      <c r="G83" s="11">
        <f t="shared" si="3"/>
        <v>3420.1627978828819</v>
      </c>
    </row>
    <row r="84" spans="5:7" x14ac:dyDescent="0.25">
      <c r="E84" s="13">
        <v>8.1000000000000003E-2</v>
      </c>
      <c r="F84" s="90">
        <f t="shared" si="2"/>
        <v>6308.4348029777539</v>
      </c>
      <c r="G84" s="11">
        <f t="shared" si="3"/>
        <v>3359.8414790792649</v>
      </c>
    </row>
    <row r="85" spans="5:7" x14ac:dyDescent="0.25">
      <c r="E85" s="13">
        <v>8.2000000000000003E-2</v>
      </c>
      <c r="F85" s="90">
        <f t="shared" si="2"/>
        <v>6122.4445156327929</v>
      </c>
      <c r="G85" s="11">
        <f t="shared" si="3"/>
        <v>3299.937740213225</v>
      </c>
    </row>
    <row r="86" spans="5:7" x14ac:dyDescent="0.25">
      <c r="E86" s="13">
        <v>8.3000000000000004E-2</v>
      </c>
      <c r="F86" s="90">
        <f t="shared" si="2"/>
        <v>5937.8844241969346</v>
      </c>
      <c r="G86" s="11">
        <f t="shared" si="3"/>
        <v>3240.4479745804765</v>
      </c>
    </row>
    <row r="87" spans="5:7" x14ac:dyDescent="0.25">
      <c r="E87" s="13">
        <v>8.4000000000000005E-2</v>
      </c>
      <c r="F87" s="90">
        <f t="shared" si="2"/>
        <v>5754.7410959401968</v>
      </c>
      <c r="G87" s="11">
        <f t="shared" si="3"/>
        <v>3181.3686116745484</v>
      </c>
    </row>
    <row r="88" spans="5:7" x14ac:dyDescent="0.25">
      <c r="E88" s="13">
        <v>8.5000000000000006E-2</v>
      </c>
      <c r="F88" s="90">
        <f t="shared" si="2"/>
        <v>5573.0012424004744</v>
      </c>
      <c r="G88" s="11">
        <f t="shared" si="3"/>
        <v>3122.6961167789377</v>
      </c>
    </row>
    <row r="89" spans="5:7" x14ac:dyDescent="0.25">
      <c r="E89" s="13">
        <v>8.5999999999999993E-2</v>
      </c>
      <c r="F89" s="90">
        <f t="shared" si="2"/>
        <v>5392.6517176640409</v>
      </c>
      <c r="G89" s="11">
        <f t="shared" si="3"/>
        <v>3064.4269905640522</v>
      </c>
    </row>
    <row r="90" spans="5:7" x14ac:dyDescent="0.25">
      <c r="E90" s="13">
        <v>8.6999999999999994E-2</v>
      </c>
      <c r="F90" s="90">
        <f t="shared" si="2"/>
        <v>5213.6795166689117</v>
      </c>
      <c r="G90" s="11">
        <f t="shared" si="3"/>
        <v>3006.5577686893994</v>
      </c>
    </row>
    <row r="91" spans="5:7" x14ac:dyDescent="0.25">
      <c r="E91" s="13">
        <v>8.7999999999999995E-2</v>
      </c>
      <c r="F91" s="90">
        <f t="shared" si="2"/>
        <v>5036.071773529824</v>
      </c>
      <c r="G91" s="11">
        <f t="shared" si="3"/>
        <v>2949.0850214104612</v>
      </c>
    </row>
    <row r="92" spans="5:7" x14ac:dyDescent="0.25">
      <c r="E92" s="13">
        <v>8.8999999999999996E-2</v>
      </c>
      <c r="F92" s="90">
        <f t="shared" si="2"/>
        <v>4859.8157598852922</v>
      </c>
      <c r="G92" s="11">
        <f t="shared" si="3"/>
        <v>2892.0053531906851</v>
      </c>
    </row>
    <row r="93" spans="5:7" x14ac:dyDescent="0.25">
      <c r="E93" s="13">
        <v>0.09</v>
      </c>
      <c r="F93" s="90">
        <f t="shared" si="2"/>
        <v>4684.8988832656833</v>
      </c>
      <c r="G93" s="11">
        <f t="shared" si="3"/>
        <v>2835.3154023180141</v>
      </c>
    </row>
    <row r="94" spans="5:7" x14ac:dyDescent="0.25">
      <c r="E94" s="13">
        <v>9.0999999999999998E-2</v>
      </c>
      <c r="F94" s="90">
        <f t="shared" si="2"/>
        <v>4511.3086854829962</v>
      </c>
      <c r="G94" s="11">
        <f t="shared" si="3"/>
        <v>2779.0118405263711</v>
      </c>
    </row>
    <row r="95" spans="5:7" x14ac:dyDescent="0.25">
      <c r="E95" s="13">
        <v>9.1999999999999998E-2</v>
      </c>
      <c r="F95" s="90">
        <f t="shared" si="2"/>
        <v>4339.0328410407456</v>
      </c>
      <c r="G95" s="11">
        <f t="shared" si="3"/>
        <v>2723.0913726216259</v>
      </c>
    </row>
    <row r="96" spans="5:7" x14ac:dyDescent="0.25">
      <c r="E96" s="13">
        <v>9.2999999999999999E-2</v>
      </c>
      <c r="F96" s="90">
        <f t="shared" si="2"/>
        <v>4168.0591555651699</v>
      </c>
      <c r="G96" s="11">
        <f t="shared" si="3"/>
        <v>2667.5507361123491</v>
      </c>
    </row>
    <row r="97" spans="5:7" x14ac:dyDescent="0.25">
      <c r="E97" s="13">
        <v>9.4E-2</v>
      </c>
      <c r="F97" s="90">
        <f t="shared" si="2"/>
        <v>3998.3755642559336</v>
      </c>
      <c r="G97" s="11">
        <f t="shared" si="3"/>
        <v>2612.3867008449142</v>
      </c>
    </row>
    <row r="98" spans="5:7" x14ac:dyDescent="0.25">
      <c r="E98" s="13">
        <v>9.5000000000000001E-2</v>
      </c>
      <c r="F98" s="90">
        <f t="shared" si="2"/>
        <v>3829.9701303574548</v>
      </c>
      <c r="G98" s="11">
        <f t="shared" si="3"/>
        <v>2557.5960686432754</v>
      </c>
    </row>
    <row r="99" spans="5:7" x14ac:dyDescent="0.25">
      <c r="E99" s="13">
        <v>9.6000000000000002E-2</v>
      </c>
      <c r="F99" s="90">
        <f t="shared" si="2"/>
        <v>3662.831043649363</v>
      </c>
      <c r="G99" s="11">
        <f t="shared" si="3"/>
        <v>2503.1756729529934</v>
      </c>
    </row>
    <row r="100" spans="5:7" x14ac:dyDescent="0.25">
      <c r="E100" s="13">
        <v>9.7000000000000003E-2</v>
      </c>
      <c r="F100" s="90">
        <f t="shared" si="2"/>
        <v>3496.9466189569503</v>
      </c>
      <c r="G100" s="11">
        <f t="shared" si="3"/>
        <v>2449.1223784897902</v>
      </c>
    </row>
    <row r="101" spans="5:7" x14ac:dyDescent="0.25">
      <c r="E101" s="13">
        <v>9.8000000000000004E-2</v>
      </c>
      <c r="F101" s="90">
        <f t="shared" si="2"/>
        <v>3332.3052946801326</v>
      </c>
      <c r="G101" s="11">
        <f t="shared" si="3"/>
        <v>2395.4330808922386</v>
      </c>
    </row>
    <row r="102" spans="5:7" x14ac:dyDescent="0.25">
      <c r="E102" s="13">
        <v>9.9000000000000005E-2</v>
      </c>
      <c r="F102" s="90">
        <f t="shared" si="2"/>
        <v>3168.8956313419694</v>
      </c>
      <c r="G102" s="11">
        <f t="shared" si="3"/>
        <v>2342.104706378881</v>
      </c>
    </row>
    <row r="103" spans="5:7" x14ac:dyDescent="0.25">
      <c r="E103" s="13">
        <v>0.1</v>
      </c>
      <c r="F103" s="90">
        <f t="shared" si="2"/>
        <v>3006.7063101551321</v>
      </c>
      <c r="G103" s="11">
        <f t="shared" si="3"/>
        <v>2289.1342114093586</v>
      </c>
    </row>
    <row r="104" spans="5:7" x14ac:dyDescent="0.25">
      <c r="E104" s="13">
        <v>0.10100000000000001</v>
      </c>
      <c r="F104" s="90">
        <f t="shared" si="2"/>
        <v>2845.7261316073855</v>
      </c>
      <c r="G104" s="11">
        <f t="shared" si="3"/>
        <v>2236.5185823498632</v>
      </c>
    </row>
    <row r="105" spans="5:7" x14ac:dyDescent="0.25">
      <c r="E105" s="13">
        <v>0.10199999999999999</v>
      </c>
      <c r="F105" s="90">
        <f t="shared" si="2"/>
        <v>2685.9440140645675</v>
      </c>
      <c r="G105" s="11">
        <f t="shared" si="3"/>
        <v>2184.2548351424593</v>
      </c>
    </row>
    <row r="106" spans="5:7" x14ac:dyDescent="0.25">
      <c r="E106" s="13">
        <v>0.10299999999999999</v>
      </c>
      <c r="F106" s="90">
        <f t="shared" si="2"/>
        <v>2527.3489923920024</v>
      </c>
      <c r="G106" s="11">
        <f t="shared" si="3"/>
        <v>2132.3400149786612</v>
      </c>
    </row>
    <row r="107" spans="5:7" x14ac:dyDescent="0.25">
      <c r="E107" s="13">
        <v>0.104</v>
      </c>
      <c r="F107" s="90">
        <f t="shared" si="2"/>
        <v>2369.9302165930094</v>
      </c>
      <c r="G107" s="11">
        <f t="shared" si="3"/>
        <v>2080.7711959767876</v>
      </c>
    </row>
    <row r="108" spans="5:7" x14ac:dyDescent="0.25">
      <c r="E108" s="13">
        <v>0.105</v>
      </c>
      <c r="F108" s="90">
        <f t="shared" si="2"/>
        <v>2213.6769504652002</v>
      </c>
      <c r="G108" s="11">
        <f t="shared" si="3"/>
        <v>2029.5454808633731</v>
      </c>
    </row>
    <row r="109" spans="5:7" x14ac:dyDescent="0.25">
      <c r="E109" s="13">
        <v>0.106</v>
      </c>
      <c r="F109" s="90">
        <f t="shared" si="2"/>
        <v>2058.5785702735702</v>
      </c>
      <c r="G109" s="11">
        <f t="shared" si="3"/>
        <v>1978.6600006583358</v>
      </c>
    </row>
    <row r="110" spans="5:7" x14ac:dyDescent="0.25">
      <c r="E110" s="13">
        <v>0.107</v>
      </c>
      <c r="F110" s="3">
        <f t="shared" si="2"/>
        <v>1904.6245634408406</v>
      </c>
      <c r="G110" s="91">
        <f t="shared" si="3"/>
        <v>1928.1119143641135</v>
      </c>
    </row>
    <row r="111" spans="5:7" x14ac:dyDescent="0.25">
      <c r="E111" s="13">
        <v>0.108</v>
      </c>
      <c r="F111" s="3">
        <f t="shared" si="2"/>
        <v>1751.8045272540221</v>
      </c>
      <c r="G111" s="91">
        <f t="shared" si="3"/>
        <v>1877.8984086583714</v>
      </c>
    </row>
    <row r="112" spans="5:7" x14ac:dyDescent="0.25">
      <c r="E112" s="13">
        <v>0.109</v>
      </c>
      <c r="F112" s="3">
        <f t="shared" si="2"/>
        <v>1600.1081675879323</v>
      </c>
      <c r="G112" s="91">
        <f t="shared" si="3"/>
        <v>1828.0166975906395</v>
      </c>
    </row>
    <row r="113" spans="5:7" x14ac:dyDescent="0.25">
      <c r="E113" s="13">
        <v>0.11</v>
      </c>
      <c r="F113" s="3">
        <f t="shared" si="2"/>
        <v>1449.5252976443335</v>
      </c>
      <c r="G113" s="91">
        <f t="shared" si="3"/>
        <v>1778.464022282411</v>
      </c>
    </row>
    <row r="114" spans="5:7" x14ac:dyDescent="0.25">
      <c r="E114" s="13">
        <v>0.111</v>
      </c>
      <c r="F114" s="3">
        <f t="shared" si="2"/>
        <v>1300.0458367076826</v>
      </c>
      <c r="G114" s="91">
        <f t="shared" si="3"/>
        <v>1729.2376506310575</v>
      </c>
    </row>
    <row r="115" spans="5:7" x14ac:dyDescent="0.25">
      <c r="E115" s="13">
        <v>0.112</v>
      </c>
      <c r="F115" s="3">
        <f t="shared" si="2"/>
        <v>1151.659808916058</v>
      </c>
      <c r="G115" s="91">
        <f t="shared" si="3"/>
        <v>1680.3348770171524</v>
      </c>
    </row>
    <row r="116" spans="5:7" x14ac:dyDescent="0.25">
      <c r="E116" s="13">
        <v>0.113</v>
      </c>
      <c r="F116" s="3">
        <f t="shared" si="2"/>
        <v>1004.3573420481553</v>
      </c>
      <c r="G116" s="91">
        <f t="shared" si="3"/>
        <v>1631.7530220154567</v>
      </c>
    </row>
    <row r="117" spans="5:7" x14ac:dyDescent="0.25">
      <c r="E117" s="13">
        <v>0.114</v>
      </c>
      <c r="F117" s="3">
        <f t="shared" si="2"/>
        <v>858.12866632514488</v>
      </c>
      <c r="G117" s="91">
        <f t="shared" si="3"/>
        <v>1583.4894321092452</v>
      </c>
    </row>
    <row r="118" spans="5:7" x14ac:dyDescent="0.25">
      <c r="E118" s="13">
        <v>0.115</v>
      </c>
      <c r="F118" s="3">
        <f t="shared" si="2"/>
        <v>712.96411322809217</v>
      </c>
      <c r="G118" s="91">
        <f t="shared" si="3"/>
        <v>1535.541479408228</v>
      </c>
    </row>
    <row r="119" spans="5:7" x14ac:dyDescent="0.25">
      <c r="E119" s="13">
        <v>0.11600000000000001</v>
      </c>
      <c r="F119" s="3">
        <f t="shared" si="2"/>
        <v>568.85411432996261</v>
      </c>
      <c r="G119" s="91">
        <f t="shared" si="3"/>
        <v>1487.9065613697039</v>
      </c>
    </row>
    <row r="120" spans="5:7" x14ac:dyDescent="0.25">
      <c r="E120" s="13">
        <v>0.11700000000000001</v>
      </c>
      <c r="F120" s="3">
        <f t="shared" si="2"/>
        <v>425.7892001426153</v>
      </c>
      <c r="G120" s="91">
        <f t="shared" si="3"/>
        <v>1440.5821005231955</v>
      </c>
    </row>
    <row r="121" spans="5:7" x14ac:dyDescent="0.25">
      <c r="E121" s="13">
        <v>0.11799999999999999</v>
      </c>
      <c r="F121" s="3">
        <f t="shared" si="2"/>
        <v>283.75999897802467</v>
      </c>
      <c r="G121" s="91">
        <f t="shared" si="3"/>
        <v>1393.5655441982617</v>
      </c>
    </row>
    <row r="122" spans="5:7" x14ac:dyDescent="0.25">
      <c r="E122" s="13">
        <v>0.11899999999999999</v>
      </c>
      <c r="F122" s="3">
        <f t="shared" si="2"/>
        <v>142.75723582406863</v>
      </c>
      <c r="G122" s="91">
        <f t="shared" si="3"/>
        <v>1346.8543642556615</v>
      </c>
    </row>
    <row r="123" spans="5:7" x14ac:dyDescent="0.25">
      <c r="E123" s="13">
        <v>0.12</v>
      </c>
      <c r="F123" s="3">
        <f t="shared" si="2"/>
        <v>2.7717312344575475</v>
      </c>
      <c r="G123" s="91">
        <f t="shared" si="3"/>
        <v>1300.4460568217237</v>
      </c>
    </row>
    <row r="124" spans="5:7" x14ac:dyDescent="0.25">
      <c r="E124" s="13">
        <v>0.121</v>
      </c>
      <c r="F124" s="3">
        <f t="shared" si="2"/>
        <v>-136.20559976765799</v>
      </c>
      <c r="G124" s="91">
        <f t="shared" si="3"/>
        <v>1254.3381420258465</v>
      </c>
    </row>
    <row r="125" spans="5:7" x14ac:dyDescent="0.25">
      <c r="E125" s="13">
        <v>0.122</v>
      </c>
      <c r="F125" s="3">
        <f t="shared" si="2"/>
        <v>-274.18374877210954</v>
      </c>
      <c r="G125" s="91">
        <f t="shared" si="3"/>
        <v>1208.5281637411317</v>
      </c>
    </row>
    <row r="126" spans="5:7" x14ac:dyDescent="0.25">
      <c r="E126" s="13">
        <v>0.123</v>
      </c>
      <c r="F126" s="3">
        <f t="shared" si="2"/>
        <v>-411.17161505069089</v>
      </c>
      <c r="G126" s="91">
        <f t="shared" si="3"/>
        <v>1163.013689328156</v>
      </c>
    </row>
    <row r="127" spans="5:7" x14ac:dyDescent="0.25">
      <c r="E127" s="13">
        <v>0.124</v>
      </c>
      <c r="F127" s="3">
        <f t="shared" si="2"/>
        <v>-547.17800661260117</v>
      </c>
      <c r="G127" s="91">
        <f t="shared" si="3"/>
        <v>1117.7923093817826</v>
      </c>
    </row>
    <row r="128" spans="5:7" x14ac:dyDescent="0.25">
      <c r="E128" s="13">
        <v>0.125</v>
      </c>
      <c r="F128" s="3">
        <f t="shared" si="2"/>
        <v>-682.21164124681673</v>
      </c>
      <c r="G128" s="91">
        <f t="shared" si="3"/>
        <v>1072.8616374809808</v>
      </c>
    </row>
    <row r="129" spans="5:7" x14ac:dyDescent="0.25">
      <c r="E129" s="13">
        <v>0.126</v>
      </c>
      <c r="F129" s="3">
        <f t="shared" si="2"/>
        <v>-816.28114755158094</v>
      </c>
      <c r="G129" s="91">
        <f t="shared" si="3"/>
        <v>1028.2193099415526</v>
      </c>
    </row>
    <row r="130" spans="5:7" x14ac:dyDescent="0.25">
      <c r="E130" s="13">
        <v>0.127</v>
      </c>
      <c r="F130" s="3">
        <f t="shared" si="2"/>
        <v>-949.39506595077546</v>
      </c>
      <c r="G130" s="91">
        <f t="shared" si="3"/>
        <v>983.86298557190457</v>
      </c>
    </row>
    <row r="131" spans="5:7" x14ac:dyDescent="0.25">
      <c r="E131" s="13">
        <v>0.128</v>
      </c>
      <c r="F131" s="3">
        <f t="shared" si="2"/>
        <v>-1081.5618496977113</v>
      </c>
      <c r="G131" s="91">
        <f t="shared" si="3"/>
        <v>939.79034543167836</v>
      </c>
    </row>
    <row r="132" spans="5:7" x14ac:dyDescent="0.25">
      <c r="E132" s="13">
        <v>0.129</v>
      </c>
      <c r="F132" s="3">
        <f t="shared" ref="F132:F195" si="4">NPV(E132,$B$4:$B$13)+$B$3</f>
        <v>-1212.7898658665399</v>
      </c>
      <c r="G132" s="91">
        <f t="shared" ref="G132:G195" si="5">NPV(E132,$C$4:$C$13)+$C$3</f>
        <v>895.99909259319975</v>
      </c>
    </row>
    <row r="133" spans="5:7" x14ac:dyDescent="0.25">
      <c r="E133" s="13">
        <v>0.13</v>
      </c>
      <c r="F133" s="3">
        <f t="shared" si="4"/>
        <v>-1343.0873963312661</v>
      </c>
      <c r="G133" s="91">
        <f t="shared" si="5"/>
        <v>852.486951905772</v>
      </c>
    </row>
    <row r="134" spans="5:7" x14ac:dyDescent="0.25">
      <c r="E134" s="13">
        <v>0.13100000000000001</v>
      </c>
      <c r="F134" s="3">
        <f t="shared" si="4"/>
        <v>-1472.4626387325625</v>
      </c>
      <c r="G134" s="91">
        <f t="shared" si="5"/>
        <v>809.25166976277615</v>
      </c>
    </row>
    <row r="135" spans="5:7" x14ac:dyDescent="0.25">
      <c r="E135" s="13">
        <v>0.13200000000000001</v>
      </c>
      <c r="F135" s="3">
        <f t="shared" si="4"/>
        <v>-1600.9237074325538</v>
      </c>
      <c r="G135" s="91">
        <f t="shared" si="5"/>
        <v>766.29101387153605</v>
      </c>
    </row>
    <row r="136" spans="5:7" x14ac:dyDescent="0.25">
      <c r="E136" s="13">
        <v>0.13300000000000001</v>
      </c>
      <c r="F136" s="3">
        <f t="shared" si="4"/>
        <v>-1728.4786344578388</v>
      </c>
      <c r="G136" s="91">
        <f t="shared" si="5"/>
        <v>723.60277302584109</v>
      </c>
    </row>
    <row r="137" spans="5:7" x14ac:dyDescent="0.25">
      <c r="E137" s="13">
        <v>0.13400000000000001</v>
      </c>
      <c r="F137" s="3">
        <f t="shared" si="4"/>
        <v>-1855.1353704309076</v>
      </c>
      <c r="G137" s="91">
        <f t="shared" si="5"/>
        <v>681.18475688117542</v>
      </c>
    </row>
    <row r="138" spans="5:7" x14ac:dyDescent="0.25">
      <c r="E138" s="13">
        <v>0.13500000000000001</v>
      </c>
      <c r="F138" s="3">
        <f t="shared" si="4"/>
        <v>-1980.9017854898302</v>
      </c>
      <c r="G138" s="91">
        <f t="shared" si="5"/>
        <v>639.03479573259756</v>
      </c>
    </row>
    <row r="139" spans="5:7" x14ac:dyDescent="0.25">
      <c r="E139" s="13">
        <v>0.13600000000000001</v>
      </c>
      <c r="F139" s="3">
        <f t="shared" si="4"/>
        <v>-2105.785670196663</v>
      </c>
      <c r="G139" s="91">
        <f t="shared" si="5"/>
        <v>597.15074029527023</v>
      </c>
    </row>
    <row r="140" spans="5:7" x14ac:dyDescent="0.25">
      <c r="E140" s="13">
        <v>0.13700000000000001</v>
      </c>
      <c r="F140" s="3">
        <f t="shared" si="4"/>
        <v>-2229.7947364347056</v>
      </c>
      <c r="G140" s="91">
        <f t="shared" si="5"/>
        <v>555.53046148750036</v>
      </c>
    </row>
    <row r="141" spans="5:7" x14ac:dyDescent="0.25">
      <c r="E141" s="13">
        <v>0.13800000000000001</v>
      </c>
      <c r="F141" s="3">
        <f t="shared" si="4"/>
        <v>-2352.9366182946433</v>
      </c>
      <c r="G141" s="91">
        <f t="shared" si="5"/>
        <v>514.17185021634214</v>
      </c>
    </row>
    <row r="142" spans="5:7" x14ac:dyDescent="0.25">
      <c r="E142" s="13">
        <v>0.13900000000000001</v>
      </c>
      <c r="F142" s="3">
        <f t="shared" si="4"/>
        <v>-2475.2188729497866</v>
      </c>
      <c r="G142" s="91">
        <f t="shared" si="5"/>
        <v>473.07281716573925</v>
      </c>
    </row>
    <row r="143" spans="5:7" x14ac:dyDescent="0.25">
      <c r="E143" s="13">
        <v>0.14000000000000001</v>
      </c>
      <c r="F143" s="3">
        <f t="shared" si="4"/>
        <v>-2596.6489815203749</v>
      </c>
      <c r="G143" s="91">
        <f t="shared" si="5"/>
        <v>432.23129258715562</v>
      </c>
    </row>
    <row r="144" spans="5:7" x14ac:dyDescent="0.25">
      <c r="E144" s="13">
        <v>0.14099999999999999</v>
      </c>
      <c r="F144" s="3">
        <f t="shared" si="4"/>
        <v>-2717.2343499275121</v>
      </c>
      <c r="G144" s="91">
        <f t="shared" si="5"/>
        <v>391.64522609262167</v>
      </c>
    </row>
    <row r="145" spans="5:7" x14ac:dyDescent="0.25">
      <c r="E145" s="13">
        <v>0.14199999999999999</v>
      </c>
      <c r="F145" s="3">
        <f t="shared" si="4"/>
        <v>-2836.9823097364679</v>
      </c>
      <c r="G145" s="91">
        <f t="shared" si="5"/>
        <v>351.31258645017988</v>
      </c>
    </row>
    <row r="146" spans="5:7" x14ac:dyDescent="0.25">
      <c r="E146" s="13">
        <v>0.14299999999999999</v>
      </c>
      <c r="F146" s="3">
        <f t="shared" si="4"/>
        <v>-2955.9001189896408</v>
      </c>
      <c r="G146" s="91">
        <f t="shared" si="5"/>
        <v>311.23136138178234</v>
      </c>
    </row>
    <row r="147" spans="5:7" x14ac:dyDescent="0.25">
      <c r="E147" s="13">
        <v>0.14399999999999999</v>
      </c>
      <c r="F147" s="3">
        <f t="shared" si="4"/>
        <v>-3073.9949630292067</v>
      </c>
      <c r="G147" s="91">
        <f t="shared" si="5"/>
        <v>271.39955736353113</v>
      </c>
    </row>
    <row r="148" spans="5:7" x14ac:dyDescent="0.25">
      <c r="E148" s="13">
        <v>0.14499999999999999</v>
      </c>
      <c r="F148" s="3">
        <f t="shared" si="4"/>
        <v>-3191.2739553100073</v>
      </c>
      <c r="G148" s="91">
        <f t="shared" si="5"/>
        <v>231.8151994281634</v>
      </c>
    </row>
    <row r="149" spans="5:7" x14ac:dyDescent="0.25">
      <c r="E149" s="13">
        <v>0.14599999999999999</v>
      </c>
      <c r="F149" s="3">
        <f t="shared" si="4"/>
        <v>-3307.7441382020079</v>
      </c>
      <c r="G149" s="91">
        <f t="shared" si="5"/>
        <v>192.47633096997561</v>
      </c>
    </row>
    <row r="150" spans="5:7" x14ac:dyDescent="0.25">
      <c r="E150" s="13">
        <v>0.14699999999999999</v>
      </c>
      <c r="F150" s="3">
        <f t="shared" si="4"/>
        <v>-3423.4124837834788</v>
      </c>
      <c r="G150" s="91">
        <f t="shared" si="5"/>
        <v>153.38101355185427</v>
      </c>
    </row>
    <row r="151" spans="5:7" x14ac:dyDescent="0.25">
      <c r="E151" s="13">
        <v>0.14799999999999999</v>
      </c>
      <c r="F151" s="3">
        <f t="shared" si="4"/>
        <v>-3538.2858946240012</v>
      </c>
      <c r="G151" s="91">
        <f t="shared" si="5"/>
        <v>114.52732671471858</v>
      </c>
    </row>
    <row r="152" spans="5:7" x14ac:dyDescent="0.25">
      <c r="E152" s="13">
        <v>0.14899999999999999</v>
      </c>
      <c r="F152" s="3">
        <f t="shared" si="4"/>
        <v>-3652.3712045583525</v>
      </c>
      <c r="G152" s="91">
        <f t="shared" si="5"/>
        <v>75.913367789000404</v>
      </c>
    </row>
    <row r="153" spans="5:7" x14ac:dyDescent="0.25">
      <c r="E153" s="13">
        <v>0.15</v>
      </c>
      <c r="F153" s="3">
        <f t="shared" si="4"/>
        <v>-3765.6751794505435</v>
      </c>
      <c r="G153" s="91">
        <f t="shared" si="5"/>
        <v>37.537251708461554</v>
      </c>
    </row>
    <row r="154" spans="5:7" x14ac:dyDescent="0.25">
      <c r="E154" s="13">
        <v>0.151</v>
      </c>
      <c r="F154" s="3">
        <f t="shared" si="4"/>
        <v>-3878.2045179489505</v>
      </c>
      <c r="G154" s="89">
        <f t="shared" si="5"/>
        <v>-0.60288917395337194</v>
      </c>
    </row>
    <row r="155" spans="5:7" x14ac:dyDescent="0.25">
      <c r="E155" s="13">
        <v>0.152</v>
      </c>
      <c r="F155" s="3">
        <f t="shared" si="4"/>
        <v>-3989.9658522319041</v>
      </c>
      <c r="G155" s="89">
        <f t="shared" si="5"/>
        <v>-38.508905268028684</v>
      </c>
    </row>
    <row r="156" spans="5:7" x14ac:dyDescent="0.25">
      <c r="E156" s="13">
        <v>0.153</v>
      </c>
      <c r="F156" s="3">
        <f t="shared" si="4"/>
        <v>-4100.965748744562</v>
      </c>
      <c r="G156" s="89">
        <f t="shared" si="5"/>
        <v>-76.182629926219306</v>
      </c>
    </row>
    <row r="157" spans="5:7" x14ac:dyDescent="0.25">
      <c r="E157" s="13">
        <v>0.154</v>
      </c>
      <c r="F157" s="3">
        <f t="shared" si="4"/>
        <v>-4211.2107089264937</v>
      </c>
      <c r="G157" s="89">
        <f t="shared" si="5"/>
        <v>-113.62587962135694</v>
      </c>
    </row>
    <row r="158" spans="5:7" x14ac:dyDescent="0.25">
      <c r="E158" s="13">
        <v>0.155</v>
      </c>
      <c r="F158" s="3">
        <f t="shared" si="4"/>
        <v>-4320.7071699307635</v>
      </c>
      <c r="G158" s="89">
        <f t="shared" si="5"/>
        <v>-150.84045412245905</v>
      </c>
    </row>
    <row r="159" spans="5:7" x14ac:dyDescent="0.25">
      <c r="E159" s="13">
        <v>0.156</v>
      </c>
      <c r="F159" s="3">
        <f t="shared" si="4"/>
        <v>-4429.4615053339803</v>
      </c>
      <c r="G159" s="89">
        <f t="shared" si="5"/>
        <v>-187.8281366683932</v>
      </c>
    </row>
    <row r="160" spans="5:7" x14ac:dyDescent="0.25">
      <c r="E160" s="13">
        <v>0.157</v>
      </c>
      <c r="F160" s="3">
        <f t="shared" si="4"/>
        <v>-4537.4800258381329</v>
      </c>
      <c r="G160" s="89">
        <f t="shared" si="5"/>
        <v>-224.59069413965517</v>
      </c>
    </row>
    <row r="161" spans="5:7" x14ac:dyDescent="0.25">
      <c r="E161" s="13">
        <v>0.158</v>
      </c>
      <c r="F161" s="3">
        <f t="shared" si="4"/>
        <v>-4644.7689799635227</v>
      </c>
      <c r="G161" s="89">
        <f t="shared" si="5"/>
        <v>-261.12987722804064</v>
      </c>
    </row>
    <row r="162" spans="5:7" x14ac:dyDescent="0.25">
      <c r="E162" s="13">
        <v>0.159</v>
      </c>
      <c r="F162" s="3">
        <f t="shared" si="4"/>
        <v>-4751.3345547337049</v>
      </c>
      <c r="G162" s="89">
        <f t="shared" si="5"/>
        <v>-297.44742060452154</v>
      </c>
    </row>
    <row r="163" spans="5:7" x14ac:dyDescent="0.25">
      <c r="E163" s="13">
        <v>0.16</v>
      </c>
      <c r="F163" s="3">
        <f t="shared" si="4"/>
        <v>-4857.1828763518315</v>
      </c>
      <c r="G163" s="89">
        <f t="shared" si="5"/>
        <v>-333.5450430850542</v>
      </c>
    </row>
    <row r="164" spans="5:7" x14ac:dyDescent="0.25">
      <c r="E164" s="13">
        <v>0.161</v>
      </c>
      <c r="F164" s="3">
        <f t="shared" si="4"/>
        <v>-4962.3200108692035</v>
      </c>
      <c r="G164" s="89">
        <f t="shared" si="5"/>
        <v>-369.42444779460129</v>
      </c>
    </row>
    <row r="165" spans="5:7" x14ac:dyDescent="0.25">
      <c r="E165" s="13">
        <v>0.16200000000000001</v>
      </c>
      <c r="F165" s="3">
        <f t="shared" si="4"/>
        <v>-5066.7519648453599</v>
      </c>
      <c r="G165" s="89">
        <f t="shared" si="5"/>
        <v>-405.08732232920011</v>
      </c>
    </row>
    <row r="166" spans="5:7" x14ac:dyDescent="0.25">
      <c r="E166" s="13">
        <v>0.16300000000000001</v>
      </c>
      <c r="F166" s="3">
        <f t="shared" si="4"/>
        <v>-5170.4846860006401</v>
      </c>
      <c r="G166" s="89">
        <f t="shared" si="5"/>
        <v>-440.53533891623556</v>
      </c>
    </row>
    <row r="167" spans="5:7" x14ac:dyDescent="0.25">
      <c r="E167" s="13">
        <v>0.16400000000000001</v>
      </c>
      <c r="F167" s="3">
        <f t="shared" si="4"/>
        <v>-5273.5240638605392</v>
      </c>
      <c r="G167" s="89">
        <f t="shared" si="5"/>
        <v>-475.77015457280868</v>
      </c>
    </row>
    <row r="168" spans="5:7" x14ac:dyDescent="0.25">
      <c r="E168" s="13">
        <v>0.16500000000000001</v>
      </c>
      <c r="F168" s="3">
        <f t="shared" si="4"/>
        <v>-5375.8759303926308</v>
      </c>
      <c r="G168" s="89">
        <f t="shared" si="5"/>
        <v>-510.79341126240979</v>
      </c>
    </row>
    <row r="169" spans="5:7" x14ac:dyDescent="0.25">
      <c r="E169" s="13">
        <v>0.16600000000000001</v>
      </c>
      <c r="F169" s="3">
        <f t="shared" si="4"/>
        <v>-5477.5460606355664</v>
      </c>
      <c r="G169" s="89">
        <f t="shared" si="5"/>
        <v>-545.60673604968724</v>
      </c>
    </row>
    <row r="170" spans="5:7" x14ac:dyDescent="0.25">
      <c r="E170" s="13">
        <v>0.16700000000000001</v>
      </c>
      <c r="F170" s="3">
        <f t="shared" si="4"/>
        <v>-5578.5401733208855</v>
      </c>
      <c r="G170" s="89">
        <f t="shared" si="5"/>
        <v>-580.21174125354992</v>
      </c>
    </row>
    <row r="171" spans="5:7" x14ac:dyDescent="0.25">
      <c r="E171" s="13">
        <v>0.16800000000000001</v>
      </c>
      <c r="F171" s="3">
        <f t="shared" si="4"/>
        <v>-5678.8639314869361</v>
      </c>
      <c r="G171" s="89">
        <f t="shared" si="5"/>
        <v>-614.61002459844713</v>
      </c>
    </row>
    <row r="172" spans="5:7" x14ac:dyDescent="0.25">
      <c r="E172" s="13">
        <v>0.16900000000000001</v>
      </c>
      <c r="F172" s="3">
        <f t="shared" si="4"/>
        <v>-5778.522943085929</v>
      </c>
      <c r="G172" s="89">
        <f t="shared" si="5"/>
        <v>-648.8031693640296</v>
      </c>
    </row>
    <row r="173" spans="5:7" x14ac:dyDescent="0.25">
      <c r="E173" s="13">
        <v>0.17</v>
      </c>
      <c r="F173" s="3">
        <f t="shared" si="4"/>
        <v>-5877.5227615833392</v>
      </c>
      <c r="G173" s="89">
        <f t="shared" si="5"/>
        <v>-682.79274453298785</v>
      </c>
    </row>
    <row r="174" spans="5:7" x14ac:dyDescent="0.25">
      <c r="E174" s="13">
        <v>0.17100000000000001</v>
      </c>
      <c r="F174" s="3">
        <f t="shared" si="4"/>
        <v>-5975.868886550481</v>
      </c>
      <c r="G174" s="89">
        <f t="shared" si="5"/>
        <v>-716.5803049373535</v>
      </c>
    </row>
    <row r="175" spans="5:7" x14ac:dyDescent="0.25">
      <c r="E175" s="13">
        <v>0.17199999999999999</v>
      </c>
      <c r="F175" s="3">
        <f t="shared" si="4"/>
        <v>-6073.5667642496919</v>
      </c>
      <c r="G175" s="89">
        <f t="shared" si="5"/>
        <v>-750.16739140299433</v>
      </c>
    </row>
    <row r="176" spans="5:7" x14ac:dyDescent="0.25">
      <c r="E176" s="13">
        <v>0.17299999999999999</v>
      </c>
      <c r="F176" s="3">
        <f t="shared" si="4"/>
        <v>-6170.6217882129022</v>
      </c>
      <c r="G176" s="89">
        <f t="shared" si="5"/>
        <v>-783.55553089263049</v>
      </c>
    </row>
    <row r="177" spans="5:7" x14ac:dyDescent="0.25">
      <c r="E177" s="13">
        <v>0.17399999999999999</v>
      </c>
      <c r="F177" s="3">
        <f t="shared" si="4"/>
        <v>-6267.0392998129464</v>
      </c>
      <c r="G177" s="89">
        <f t="shared" si="5"/>
        <v>-816.74623664709361</v>
      </c>
    </row>
    <row r="178" spans="5:7" x14ac:dyDescent="0.25">
      <c r="E178" s="13">
        <v>0.17499999999999999</v>
      </c>
      <c r="F178" s="3">
        <f t="shared" si="4"/>
        <v>-6362.8245888284873</v>
      </c>
      <c r="G178" s="89">
        <f t="shared" si="5"/>
        <v>-849.74100832511067</v>
      </c>
    </row>
    <row r="179" spans="5:7" x14ac:dyDescent="0.25">
      <c r="E179" s="13">
        <v>0.17599999999999999</v>
      </c>
      <c r="F179" s="3">
        <f t="shared" si="4"/>
        <v>-6457.9828940017942</v>
      </c>
      <c r="G179" s="89">
        <f t="shared" si="5"/>
        <v>-882.54133214139438</v>
      </c>
    </row>
    <row r="180" spans="5:7" x14ac:dyDescent="0.25">
      <c r="E180" s="13">
        <v>0.17699999999999999</v>
      </c>
      <c r="F180" s="3">
        <f t="shared" si="4"/>
        <v>-6552.5194035903551</v>
      </c>
      <c r="G180" s="89">
        <f t="shared" si="5"/>
        <v>-915.14868100331478</v>
      </c>
    </row>
    <row r="181" spans="5:7" x14ac:dyDescent="0.25">
      <c r="E181" s="13">
        <v>0.17799999999999999</v>
      </c>
      <c r="F181" s="3">
        <f t="shared" si="4"/>
        <v>-6646.4392559115149</v>
      </c>
      <c r="G181" s="89">
        <f t="shared" si="5"/>
        <v>-947.56451464587553</v>
      </c>
    </row>
    <row r="182" spans="5:7" x14ac:dyDescent="0.25">
      <c r="E182" s="13">
        <v>0.17899999999999999</v>
      </c>
      <c r="F182" s="3">
        <f t="shared" si="4"/>
        <v>-6739.7475398810602</v>
      </c>
      <c r="G182" s="89">
        <f t="shared" si="5"/>
        <v>-979.79027976533325</v>
      </c>
    </row>
    <row r="183" spans="5:7" x14ac:dyDescent="0.25">
      <c r="E183" s="13">
        <v>0.18</v>
      </c>
      <c r="F183" s="3">
        <f t="shared" si="4"/>
        <v>-6832.4492955451096</v>
      </c>
      <c r="G183" s="89">
        <f t="shared" si="5"/>
        <v>-1011.8274101511743</v>
      </c>
    </row>
    <row r="184" spans="5:7" x14ac:dyDescent="0.25">
      <c r="E184" s="13">
        <v>0.18099999999999999</v>
      </c>
      <c r="F184" s="3">
        <f t="shared" si="4"/>
        <v>-6924.5495146059584</v>
      </c>
      <c r="G184" s="89">
        <f t="shared" si="5"/>
        <v>-1043.6773268167308</v>
      </c>
    </row>
    <row r="185" spans="5:7" x14ac:dyDescent="0.25">
      <c r="E185" s="13">
        <v>0.182</v>
      </c>
      <c r="F185" s="3">
        <f t="shared" si="4"/>
        <v>-7016.0531409415344</v>
      </c>
      <c r="G185" s="89">
        <f t="shared" si="5"/>
        <v>-1075.3414381282309</v>
      </c>
    </row>
    <row r="186" spans="5:7" x14ac:dyDescent="0.25">
      <c r="E186" s="13">
        <v>0.183</v>
      </c>
      <c r="F186" s="3">
        <f t="shared" si="4"/>
        <v>-7106.9650711189315</v>
      </c>
      <c r="G186" s="89">
        <f t="shared" si="5"/>
        <v>-1106.8211399324919</v>
      </c>
    </row>
    <row r="187" spans="5:7" x14ac:dyDescent="0.25">
      <c r="E187" s="13">
        <v>0.184</v>
      </c>
      <c r="F187" s="3">
        <f t="shared" si="4"/>
        <v>-7197.2901549016278</v>
      </c>
      <c r="G187" s="89">
        <f t="shared" si="5"/>
        <v>-1138.1178156830993</v>
      </c>
    </row>
    <row r="188" spans="5:7" x14ac:dyDescent="0.25">
      <c r="E188" s="13">
        <v>0.185</v>
      </c>
      <c r="F188" s="3">
        <f t="shared" si="4"/>
        <v>-7287.0331957510134</v>
      </c>
      <c r="G188" s="89">
        <f t="shared" si="5"/>
        <v>-1169.2328365652756</v>
      </c>
    </row>
    <row r="189" spans="5:7" x14ac:dyDescent="0.25">
      <c r="E189" s="13">
        <v>0.186</v>
      </c>
      <c r="F189" s="3">
        <f t="shared" si="4"/>
        <v>-7376.1989513217741</v>
      </c>
      <c r="G189" s="89">
        <f t="shared" si="5"/>
        <v>-1200.1675616192533</v>
      </c>
    </row>
    <row r="190" spans="5:7" x14ac:dyDescent="0.25">
      <c r="E190" s="13">
        <v>0.187</v>
      </c>
      <c r="F190" s="3">
        <f t="shared" si="4"/>
        <v>-7464.7921339516979</v>
      </c>
      <c r="G190" s="89">
        <f t="shared" si="5"/>
        <v>-1230.9233378623558</v>
      </c>
    </row>
    <row r="191" spans="5:7" x14ac:dyDescent="0.25">
      <c r="E191" s="13">
        <v>0.188</v>
      </c>
      <c r="F191" s="3">
        <f t="shared" si="4"/>
        <v>-7552.8174111454646</v>
      </c>
      <c r="G191" s="89">
        <f t="shared" si="5"/>
        <v>-1261.5015004096585</v>
      </c>
    </row>
    <row r="192" spans="5:7" x14ac:dyDescent="0.25">
      <c r="E192" s="13">
        <v>0.189</v>
      </c>
      <c r="F192" s="3">
        <f t="shared" si="4"/>
        <v>-7640.2794060530687</v>
      </c>
      <c r="G192" s="89">
        <f t="shared" si="5"/>
        <v>-1291.9033725933568</v>
      </c>
    </row>
    <row r="193" spans="5:7" x14ac:dyDescent="0.25">
      <c r="E193" s="13">
        <v>0.19</v>
      </c>
      <c r="F193" s="3">
        <f t="shared" si="4"/>
        <v>-7727.1826979423022</v>
      </c>
      <c r="G193" s="89">
        <f t="shared" si="5"/>
        <v>-1322.1302660807596</v>
      </c>
    </row>
    <row r="194" spans="5:7" x14ac:dyDescent="0.25">
      <c r="E194" s="13">
        <v>0.191</v>
      </c>
      <c r="F194" s="3">
        <f t="shared" si="4"/>
        <v>-7813.5318226660638</v>
      </c>
      <c r="G194" s="89">
        <f t="shared" si="5"/>
        <v>-1352.1834809910251</v>
      </c>
    </row>
    <row r="195" spans="5:7" x14ac:dyDescent="0.25">
      <c r="E195" s="13">
        <v>0.192</v>
      </c>
      <c r="F195" s="3">
        <f t="shared" si="4"/>
        <v>-7899.3312731238584</v>
      </c>
      <c r="G195" s="89">
        <f t="shared" si="5"/>
        <v>-1382.0643060105449</v>
      </c>
    </row>
    <row r="196" spans="5:7" x14ac:dyDescent="0.25">
      <c r="E196" s="13">
        <v>0.193</v>
      </c>
      <c r="F196" s="3">
        <f t="shared" ref="F196:F203" si="6">NPV(E196,$B$4:$B$13)+$B$3</f>
        <v>-7984.5854997182541</v>
      </c>
      <c r="G196" s="89">
        <f t="shared" ref="G196:G203" si="7">NPV(E196,$C$4:$C$13)+$C$3</f>
        <v>-1411.7740185071034</v>
      </c>
    </row>
    <row r="197" spans="5:7" x14ac:dyDescent="0.25">
      <c r="E197" s="13">
        <v>0.19400000000000001</v>
      </c>
      <c r="F197" s="3">
        <f t="shared" si="6"/>
        <v>-8069.2989108056572</v>
      </c>
      <c r="G197" s="89">
        <f t="shared" si="7"/>
        <v>-1441.3138846427173</v>
      </c>
    </row>
    <row r="198" spans="5:7" x14ac:dyDescent="0.25">
      <c r="E198" s="13">
        <v>0.19500000000000001</v>
      </c>
      <c r="F198" s="3">
        <f t="shared" si="6"/>
        <v>-8153.4758731421862</v>
      </c>
      <c r="G198" s="89">
        <f t="shared" si="7"/>
        <v>-1470.6851594853142</v>
      </c>
    </row>
    <row r="199" spans="5:7" x14ac:dyDescent="0.25">
      <c r="E199" s="13">
        <v>0.19600000000000001</v>
      </c>
      <c r="F199" s="3">
        <f t="shared" si="6"/>
        <v>-8237.1207123240492</v>
      </c>
      <c r="G199" s="89">
        <f t="shared" si="7"/>
        <v>-1499.8890871190561</v>
      </c>
    </row>
    <row r="200" spans="5:7" x14ac:dyDescent="0.25">
      <c r="E200" s="13">
        <v>0.19700000000000001</v>
      </c>
      <c r="F200" s="3">
        <f t="shared" si="6"/>
        <v>-8320.2377132230358</v>
      </c>
      <c r="G200" s="89">
        <f t="shared" si="7"/>
        <v>-1528.9269007535659</v>
      </c>
    </row>
    <row r="201" spans="5:7" x14ac:dyDescent="0.25">
      <c r="E201" s="13">
        <v>0.19800000000000001</v>
      </c>
      <c r="F201" s="3">
        <f t="shared" si="6"/>
        <v>-8402.8311204167694</v>
      </c>
      <c r="G201" s="89">
        <f t="shared" si="7"/>
        <v>-1557.7998228318556</v>
      </c>
    </row>
    <row r="202" spans="5:7" x14ac:dyDescent="0.25">
      <c r="E202" s="13">
        <v>0.19900000000000001</v>
      </c>
      <c r="F202" s="3">
        <f t="shared" si="6"/>
        <v>-8484.9051386141437</v>
      </c>
      <c r="G202" s="89">
        <f t="shared" si="7"/>
        <v>-1586.5090651371556</v>
      </c>
    </row>
    <row r="203" spans="5:7" x14ac:dyDescent="0.25">
      <c r="E203" s="13">
        <v>0.2</v>
      </c>
      <c r="F203" s="3">
        <f t="shared" si="6"/>
        <v>-8566.4639330755745</v>
      </c>
      <c r="G203" s="89">
        <f t="shared" si="7"/>
        <v>-1615.0558288984575</v>
      </c>
    </row>
    <row r="204" spans="5:7" x14ac:dyDescent="0.25">
      <c r="E204" s="13"/>
      <c r="F204" s="3"/>
      <c r="G204" s="11"/>
    </row>
    <row r="205" spans="5:7" x14ac:dyDescent="0.25">
      <c r="E205" s="13"/>
      <c r="F205" s="3"/>
      <c r="G205" s="11"/>
    </row>
    <row r="206" spans="5:7" x14ac:dyDescent="0.25">
      <c r="E206" s="13"/>
      <c r="F206" s="3"/>
      <c r="G206" s="11"/>
    </row>
    <row r="207" spans="5:7" x14ac:dyDescent="0.25">
      <c r="E207" s="13"/>
      <c r="F207" s="3"/>
      <c r="G207" s="11"/>
    </row>
    <row r="208" spans="5:7" x14ac:dyDescent="0.25">
      <c r="E208" s="13"/>
      <c r="F208" s="3"/>
      <c r="G208" s="11"/>
    </row>
    <row r="209" spans="5:7" x14ac:dyDescent="0.25">
      <c r="E209" s="13"/>
      <c r="F209" s="3"/>
      <c r="G209" s="11"/>
    </row>
    <row r="210" spans="5:7" x14ac:dyDescent="0.25">
      <c r="E210" s="13"/>
      <c r="F210" s="3"/>
      <c r="G210" s="11"/>
    </row>
    <row r="211" spans="5:7" x14ac:dyDescent="0.25">
      <c r="E211" s="13"/>
      <c r="F211" s="3"/>
      <c r="G211" s="11"/>
    </row>
    <row r="212" spans="5:7" x14ac:dyDescent="0.25">
      <c r="E212" s="13"/>
      <c r="F212" s="3"/>
      <c r="G212" s="11"/>
    </row>
    <row r="213" spans="5:7" x14ac:dyDescent="0.25">
      <c r="E213" s="13"/>
      <c r="F213" s="3"/>
      <c r="G213" s="11"/>
    </row>
    <row r="214" spans="5:7" x14ac:dyDescent="0.25">
      <c r="E214" s="13"/>
      <c r="F214" s="3"/>
      <c r="G214" s="11"/>
    </row>
    <row r="215" spans="5:7" x14ac:dyDescent="0.25">
      <c r="E215" s="13"/>
      <c r="F215" s="3"/>
      <c r="G215" s="11"/>
    </row>
    <row r="216" spans="5:7" x14ac:dyDescent="0.25">
      <c r="E216" s="13"/>
      <c r="F216" s="3"/>
      <c r="G216" s="11"/>
    </row>
    <row r="217" spans="5:7" x14ac:dyDescent="0.25">
      <c r="E217" s="13"/>
      <c r="F217" s="3"/>
      <c r="G217" s="11"/>
    </row>
    <row r="218" spans="5:7" x14ac:dyDescent="0.25">
      <c r="E218" s="13"/>
      <c r="F218" s="3"/>
      <c r="G218" s="11"/>
    </row>
    <row r="219" spans="5:7" x14ac:dyDescent="0.25">
      <c r="E219" s="13"/>
      <c r="F219" s="3"/>
      <c r="G219" s="11"/>
    </row>
    <row r="220" spans="5:7" x14ac:dyDescent="0.25">
      <c r="E220" s="13"/>
      <c r="F220" s="3"/>
      <c r="G220" s="11"/>
    </row>
    <row r="221" spans="5:7" x14ac:dyDescent="0.25">
      <c r="E221" s="13"/>
      <c r="F221" s="3"/>
      <c r="G221" s="11"/>
    </row>
    <row r="222" spans="5:7" x14ac:dyDescent="0.25">
      <c r="E222" s="13"/>
      <c r="F222" s="3"/>
      <c r="G222" s="11"/>
    </row>
    <row r="223" spans="5:7" x14ac:dyDescent="0.25">
      <c r="E223" s="13"/>
      <c r="F223" s="3"/>
      <c r="G223" s="11"/>
    </row>
    <row r="224" spans="5:7" x14ac:dyDescent="0.25">
      <c r="E224" s="13"/>
      <c r="F224" s="3"/>
      <c r="G224" s="11"/>
    </row>
    <row r="225" spans="5:7" x14ac:dyDescent="0.25">
      <c r="E225" s="13"/>
      <c r="F225" s="3"/>
      <c r="G225" s="11"/>
    </row>
    <row r="226" spans="5:7" x14ac:dyDescent="0.25">
      <c r="E226" s="13"/>
      <c r="F226" s="3"/>
      <c r="G226" s="11"/>
    </row>
    <row r="227" spans="5:7" x14ac:dyDescent="0.25">
      <c r="E227" s="13"/>
      <c r="F227" s="3"/>
      <c r="G227" s="11"/>
    </row>
    <row r="228" spans="5:7" x14ac:dyDescent="0.25">
      <c r="E228" s="13"/>
      <c r="F228" s="3"/>
      <c r="G228" s="11"/>
    </row>
    <row r="229" spans="5:7" x14ac:dyDescent="0.25">
      <c r="E229" s="13"/>
      <c r="F229" s="3"/>
      <c r="G229" s="11"/>
    </row>
    <row r="230" spans="5:7" x14ac:dyDescent="0.25">
      <c r="E230" s="13"/>
      <c r="F230" s="3"/>
      <c r="G230" s="11"/>
    </row>
    <row r="231" spans="5:7" x14ac:dyDescent="0.25">
      <c r="E231" s="13"/>
      <c r="F231" s="3"/>
      <c r="G231" s="11"/>
    </row>
    <row r="232" spans="5:7" x14ac:dyDescent="0.25">
      <c r="E232" s="13"/>
      <c r="F232" s="3"/>
      <c r="G232" s="11"/>
    </row>
    <row r="233" spans="5:7" x14ac:dyDescent="0.25">
      <c r="E233" s="13"/>
      <c r="F233" s="3"/>
      <c r="G233" s="11"/>
    </row>
    <row r="234" spans="5:7" x14ac:dyDescent="0.25">
      <c r="E234" s="13"/>
      <c r="F234" s="3"/>
      <c r="G234" s="11"/>
    </row>
    <row r="235" spans="5:7" x14ac:dyDescent="0.25">
      <c r="E235" s="13"/>
      <c r="F235" s="3"/>
      <c r="G235" s="11"/>
    </row>
    <row r="236" spans="5:7" x14ac:dyDescent="0.25">
      <c r="E236" s="13"/>
      <c r="F236" s="3"/>
      <c r="G236" s="11"/>
    </row>
    <row r="237" spans="5:7" x14ac:dyDescent="0.25">
      <c r="E237" s="13"/>
      <c r="F237" s="3"/>
      <c r="G237" s="11"/>
    </row>
    <row r="238" spans="5:7" x14ac:dyDescent="0.25">
      <c r="E238" s="13"/>
      <c r="F238" s="3"/>
      <c r="G238" s="11"/>
    </row>
    <row r="239" spans="5:7" x14ac:dyDescent="0.25">
      <c r="E239" s="13"/>
      <c r="F239" s="3"/>
      <c r="G239" s="11"/>
    </row>
    <row r="240" spans="5:7" x14ac:dyDescent="0.25">
      <c r="E240" s="13"/>
      <c r="F240" s="3"/>
      <c r="G240" s="11"/>
    </row>
    <row r="241" spans="5:7" x14ac:dyDescent="0.25">
      <c r="E241" s="13"/>
      <c r="F241" s="3"/>
      <c r="G241" s="11"/>
    </row>
    <row r="242" spans="5:7" x14ac:dyDescent="0.25">
      <c r="E242" s="13"/>
      <c r="F242" s="3"/>
      <c r="G242" s="11"/>
    </row>
    <row r="243" spans="5:7" x14ac:dyDescent="0.25">
      <c r="E243" s="13"/>
      <c r="F243" s="3"/>
      <c r="G243" s="11"/>
    </row>
    <row r="244" spans="5:7" x14ac:dyDescent="0.25">
      <c r="E244" s="13"/>
      <c r="F244" s="3"/>
      <c r="G244" s="11"/>
    </row>
    <row r="245" spans="5:7" x14ac:dyDescent="0.25">
      <c r="E245" s="13"/>
      <c r="F245" s="3"/>
      <c r="G245" s="11"/>
    </row>
    <row r="246" spans="5:7" x14ac:dyDescent="0.25">
      <c r="E246" s="13"/>
      <c r="F246" s="3"/>
      <c r="G246" s="11"/>
    </row>
    <row r="247" spans="5:7" x14ac:dyDescent="0.25">
      <c r="E247" s="13"/>
      <c r="F247" s="3"/>
      <c r="G247" s="11"/>
    </row>
    <row r="248" spans="5:7" x14ac:dyDescent="0.25">
      <c r="E248" s="13"/>
      <c r="F248" s="3"/>
      <c r="G248" s="11"/>
    </row>
    <row r="249" spans="5:7" x14ac:dyDescent="0.25">
      <c r="E249" s="13"/>
      <c r="F249" s="3"/>
      <c r="G249" s="11"/>
    </row>
    <row r="250" spans="5:7" x14ac:dyDescent="0.25">
      <c r="E250" s="13"/>
      <c r="F250" s="3"/>
      <c r="G250" s="11"/>
    </row>
    <row r="251" spans="5:7" x14ac:dyDescent="0.25">
      <c r="E251" s="13"/>
      <c r="F251" s="3"/>
      <c r="G251" s="11"/>
    </row>
    <row r="252" spans="5:7" x14ac:dyDescent="0.25">
      <c r="E252" s="13"/>
      <c r="F252" s="3"/>
      <c r="G252" s="11"/>
    </row>
    <row r="253" spans="5:7" x14ac:dyDescent="0.25">
      <c r="E253" s="13"/>
      <c r="F253" s="3"/>
      <c r="G253" s="11"/>
    </row>
    <row r="254" spans="5:7" x14ac:dyDescent="0.25">
      <c r="E254" s="13"/>
      <c r="F254" s="3"/>
      <c r="G254" s="11"/>
    </row>
    <row r="255" spans="5:7" x14ac:dyDescent="0.25">
      <c r="E255" s="13"/>
      <c r="F255" s="3"/>
      <c r="G255" s="11"/>
    </row>
    <row r="256" spans="5:7" x14ac:dyDescent="0.25">
      <c r="E256" s="13"/>
      <c r="F256" s="3"/>
      <c r="G256" s="11"/>
    </row>
    <row r="257" spans="5:7" x14ac:dyDescent="0.25">
      <c r="E257" s="13"/>
      <c r="F257" s="3"/>
      <c r="G257" s="11"/>
    </row>
    <row r="258" spans="5:7" x14ac:dyDescent="0.25">
      <c r="E258" s="13"/>
      <c r="F258" s="3"/>
      <c r="G258" s="11"/>
    </row>
    <row r="259" spans="5:7" x14ac:dyDescent="0.25">
      <c r="E259" s="13"/>
      <c r="F259" s="3"/>
      <c r="G259" s="11"/>
    </row>
    <row r="260" spans="5:7" x14ac:dyDescent="0.25">
      <c r="E260" s="13"/>
      <c r="F260" s="3"/>
      <c r="G260" s="11"/>
    </row>
    <row r="261" spans="5:7" x14ac:dyDescent="0.25">
      <c r="E261" s="13"/>
      <c r="F261" s="3"/>
      <c r="G261" s="11"/>
    </row>
    <row r="262" spans="5:7" x14ac:dyDescent="0.25">
      <c r="E262" s="13"/>
      <c r="F262" s="3"/>
      <c r="G262" s="11"/>
    </row>
    <row r="263" spans="5:7" x14ac:dyDescent="0.25">
      <c r="E263" s="13"/>
      <c r="F263" s="3"/>
      <c r="G263" s="11"/>
    </row>
    <row r="264" spans="5:7" x14ac:dyDescent="0.25">
      <c r="E264" s="13"/>
      <c r="F264" s="3"/>
      <c r="G264" s="11"/>
    </row>
    <row r="265" spans="5:7" x14ac:dyDescent="0.25">
      <c r="E265" s="13"/>
      <c r="F265" s="3"/>
      <c r="G265" s="11"/>
    </row>
    <row r="266" spans="5:7" x14ac:dyDescent="0.25">
      <c r="E266" s="13"/>
      <c r="F266" s="3"/>
      <c r="G266" s="11"/>
    </row>
    <row r="267" spans="5:7" x14ac:dyDescent="0.25">
      <c r="E267" s="13"/>
      <c r="F267" s="3"/>
      <c r="G267" s="11"/>
    </row>
    <row r="268" spans="5:7" x14ac:dyDescent="0.25">
      <c r="E268" s="13"/>
      <c r="F268" s="3"/>
      <c r="G268" s="11"/>
    </row>
    <row r="269" spans="5:7" x14ac:dyDescent="0.25">
      <c r="E269" s="13"/>
      <c r="F269" s="3"/>
      <c r="G269" s="11"/>
    </row>
    <row r="270" spans="5:7" x14ac:dyDescent="0.25">
      <c r="E270" s="13"/>
      <c r="F270" s="3"/>
      <c r="G270" s="11"/>
    </row>
    <row r="271" spans="5:7" x14ac:dyDescent="0.25">
      <c r="E271" s="13"/>
      <c r="F271" s="3"/>
      <c r="G271" s="11"/>
    </row>
    <row r="272" spans="5:7" x14ac:dyDescent="0.25">
      <c r="E272" s="13"/>
      <c r="F272" s="3"/>
      <c r="G272" s="11"/>
    </row>
    <row r="273" spans="5:7" x14ac:dyDescent="0.25">
      <c r="E273" s="13"/>
      <c r="F273" s="3"/>
      <c r="G273" s="11"/>
    </row>
    <row r="274" spans="5:7" x14ac:dyDescent="0.25">
      <c r="E274" s="13"/>
      <c r="F274" s="3"/>
      <c r="G274" s="11"/>
    </row>
    <row r="275" spans="5:7" x14ac:dyDescent="0.25">
      <c r="E275" s="13"/>
      <c r="F275" s="3"/>
      <c r="G275" s="11"/>
    </row>
    <row r="276" spans="5:7" x14ac:dyDescent="0.25">
      <c r="E276" s="13"/>
      <c r="F276" s="3"/>
      <c r="G276" s="11"/>
    </row>
    <row r="277" spans="5:7" x14ac:dyDescent="0.25">
      <c r="E277" s="13"/>
      <c r="F277" s="3"/>
      <c r="G277" s="11"/>
    </row>
    <row r="278" spans="5:7" x14ac:dyDescent="0.25">
      <c r="E278" s="13"/>
      <c r="F278" s="3"/>
      <c r="G278" s="11"/>
    </row>
    <row r="279" spans="5:7" x14ac:dyDescent="0.25">
      <c r="E279" s="13"/>
      <c r="F279" s="3"/>
      <c r="G279" s="11"/>
    </row>
    <row r="280" spans="5:7" x14ac:dyDescent="0.25">
      <c r="E280" s="13"/>
      <c r="F280" s="3"/>
      <c r="G280" s="11"/>
    </row>
    <row r="281" spans="5:7" x14ac:dyDescent="0.25">
      <c r="E281" s="13"/>
      <c r="F281" s="3"/>
      <c r="G281" s="11"/>
    </row>
    <row r="282" spans="5:7" x14ac:dyDescent="0.25">
      <c r="E282" s="13"/>
      <c r="F282" s="3"/>
      <c r="G282" s="11"/>
    </row>
    <row r="283" spans="5:7" x14ac:dyDescent="0.25">
      <c r="E283" s="13"/>
      <c r="F283" s="3"/>
      <c r="G283" s="11"/>
    </row>
    <row r="284" spans="5:7" x14ac:dyDescent="0.25">
      <c r="E284" s="13"/>
      <c r="F284" s="3"/>
      <c r="G284" s="11"/>
    </row>
    <row r="285" spans="5:7" x14ac:dyDescent="0.25">
      <c r="E285" s="13"/>
      <c r="F285" s="3"/>
      <c r="G285" s="11"/>
    </row>
    <row r="286" spans="5:7" x14ac:dyDescent="0.25">
      <c r="E286" s="13"/>
      <c r="F286" s="3"/>
      <c r="G286" s="11"/>
    </row>
    <row r="287" spans="5:7" x14ac:dyDescent="0.25">
      <c r="E287" s="13"/>
      <c r="F287" s="3"/>
      <c r="G287" s="11"/>
    </row>
    <row r="288" spans="5:7" x14ac:dyDescent="0.25">
      <c r="E288" s="13"/>
      <c r="F288" s="3"/>
      <c r="G288" s="11"/>
    </row>
    <row r="289" spans="5:7" x14ac:dyDescent="0.25">
      <c r="E289" s="13"/>
      <c r="F289" s="3"/>
      <c r="G289" s="11"/>
    </row>
    <row r="290" spans="5:7" x14ac:dyDescent="0.25">
      <c r="E290" s="13"/>
      <c r="F290" s="3"/>
      <c r="G290" s="11"/>
    </row>
    <row r="291" spans="5:7" x14ac:dyDescent="0.25">
      <c r="E291" s="13"/>
      <c r="F291" s="3"/>
      <c r="G291" s="11"/>
    </row>
    <row r="292" spans="5:7" x14ac:dyDescent="0.25">
      <c r="E292" s="13"/>
      <c r="F292" s="3"/>
      <c r="G292" s="11"/>
    </row>
    <row r="293" spans="5:7" x14ac:dyDescent="0.25">
      <c r="E293" s="13"/>
      <c r="F293" s="3"/>
      <c r="G293" s="11"/>
    </row>
    <row r="294" spans="5:7" x14ac:dyDescent="0.25">
      <c r="E294" s="13"/>
      <c r="F294" s="3"/>
      <c r="G294" s="11"/>
    </row>
    <row r="295" spans="5:7" x14ac:dyDescent="0.25">
      <c r="E295" s="13"/>
      <c r="F295" s="3"/>
      <c r="G295" s="11"/>
    </row>
    <row r="296" spans="5:7" x14ac:dyDescent="0.25">
      <c r="E296" s="13"/>
      <c r="F296" s="3"/>
      <c r="G296" s="11"/>
    </row>
    <row r="297" spans="5:7" x14ac:dyDescent="0.25">
      <c r="E297" s="13"/>
      <c r="F297" s="3"/>
      <c r="G297" s="11"/>
    </row>
    <row r="298" spans="5:7" x14ac:dyDescent="0.25">
      <c r="E298" s="13"/>
      <c r="F298" s="3"/>
      <c r="G298" s="11"/>
    </row>
    <row r="299" spans="5:7" x14ac:dyDescent="0.25">
      <c r="E299" s="13"/>
      <c r="F299" s="3"/>
      <c r="G299" s="11"/>
    </row>
    <row r="300" spans="5:7" x14ac:dyDescent="0.25">
      <c r="E300" s="13"/>
      <c r="F300" s="3"/>
      <c r="G300" s="11"/>
    </row>
    <row r="301" spans="5:7" x14ac:dyDescent="0.25">
      <c r="E301" s="13"/>
      <c r="F301" s="3"/>
      <c r="G301" s="11"/>
    </row>
    <row r="302" spans="5:7" x14ac:dyDescent="0.25">
      <c r="E302" s="13"/>
      <c r="F302" s="3"/>
      <c r="G302" s="11"/>
    </row>
    <row r="303" spans="5:7" x14ac:dyDescent="0.25">
      <c r="E303" s="13"/>
      <c r="F303" s="3"/>
      <c r="G303" s="11"/>
    </row>
    <row r="304" spans="5:7" x14ac:dyDescent="0.25">
      <c r="E304" s="13"/>
      <c r="F304" s="3"/>
      <c r="G304" s="11"/>
    </row>
    <row r="305" spans="5:7" x14ac:dyDescent="0.25">
      <c r="E305" s="13"/>
      <c r="F305" s="3"/>
      <c r="G305" s="11"/>
    </row>
    <row r="306" spans="5:7" x14ac:dyDescent="0.25">
      <c r="E306" s="13"/>
      <c r="F306" s="3"/>
      <c r="G306" s="11"/>
    </row>
    <row r="307" spans="5:7" x14ac:dyDescent="0.25">
      <c r="E307" s="13"/>
      <c r="F307" s="3"/>
      <c r="G307" s="11"/>
    </row>
    <row r="308" spans="5:7" x14ac:dyDescent="0.25">
      <c r="E308" s="13"/>
      <c r="F308" s="3"/>
      <c r="G308" s="11"/>
    </row>
    <row r="309" spans="5:7" x14ac:dyDescent="0.25">
      <c r="E309" s="13"/>
      <c r="F309" s="3"/>
      <c r="G309" s="11"/>
    </row>
    <row r="310" spans="5:7" x14ac:dyDescent="0.25">
      <c r="E310" s="13"/>
      <c r="F310" s="3"/>
      <c r="G310" s="11"/>
    </row>
    <row r="311" spans="5:7" x14ac:dyDescent="0.25">
      <c r="E311" s="13"/>
      <c r="F311" s="3"/>
      <c r="G311" s="11"/>
    </row>
    <row r="312" spans="5:7" x14ac:dyDescent="0.25">
      <c r="E312" s="13"/>
      <c r="F312" s="3"/>
      <c r="G312" s="11"/>
    </row>
    <row r="313" spans="5:7" x14ac:dyDescent="0.25">
      <c r="E313" s="13"/>
      <c r="F313" s="3"/>
      <c r="G313" s="11"/>
    </row>
    <row r="314" spans="5:7" x14ac:dyDescent="0.25">
      <c r="E314" s="13"/>
      <c r="F314" s="3"/>
      <c r="G314" s="11"/>
    </row>
    <row r="315" spans="5:7" x14ac:dyDescent="0.25">
      <c r="E315" s="13"/>
      <c r="F315" s="3"/>
      <c r="G315" s="11"/>
    </row>
    <row r="316" spans="5:7" x14ac:dyDescent="0.25">
      <c r="E316" s="13"/>
      <c r="F316" s="3"/>
      <c r="G316" s="11"/>
    </row>
    <row r="317" spans="5:7" x14ac:dyDescent="0.25">
      <c r="E317" s="13"/>
      <c r="F317" s="3"/>
      <c r="G317" s="11"/>
    </row>
    <row r="318" spans="5:7" x14ac:dyDescent="0.25">
      <c r="E318" s="13"/>
      <c r="F318" s="3"/>
      <c r="G318" s="11"/>
    </row>
    <row r="319" spans="5:7" x14ac:dyDescent="0.25">
      <c r="E319" s="13"/>
      <c r="F319" s="3"/>
      <c r="G319" s="11"/>
    </row>
    <row r="320" spans="5:7" x14ac:dyDescent="0.25">
      <c r="E320" s="13"/>
      <c r="F320" s="3"/>
      <c r="G320" s="11"/>
    </row>
    <row r="321" spans="5:7" x14ac:dyDescent="0.25">
      <c r="E321" s="13"/>
      <c r="F321" s="3"/>
      <c r="G321" s="11"/>
    </row>
    <row r="322" spans="5:7" x14ac:dyDescent="0.25">
      <c r="E322" s="13"/>
      <c r="F322" s="3"/>
      <c r="G322" s="11"/>
    </row>
    <row r="323" spans="5:7" x14ac:dyDescent="0.25">
      <c r="E323" s="13"/>
      <c r="F323" s="3"/>
      <c r="G323" s="11"/>
    </row>
    <row r="324" spans="5:7" x14ac:dyDescent="0.25">
      <c r="E324" s="13"/>
      <c r="F324" s="3"/>
      <c r="G324" s="11"/>
    </row>
    <row r="325" spans="5:7" x14ac:dyDescent="0.25">
      <c r="E325" s="13"/>
      <c r="F325" s="3"/>
      <c r="G325" s="11"/>
    </row>
    <row r="326" spans="5:7" x14ac:dyDescent="0.25">
      <c r="E326" s="13"/>
      <c r="F326" s="3"/>
      <c r="G326" s="11"/>
    </row>
    <row r="327" spans="5:7" x14ac:dyDescent="0.25">
      <c r="E327" s="13"/>
      <c r="F327" s="3"/>
      <c r="G327" s="11"/>
    </row>
    <row r="328" spans="5:7" x14ac:dyDescent="0.25">
      <c r="E328" s="13"/>
      <c r="F328" s="3"/>
      <c r="G328" s="11"/>
    </row>
    <row r="329" spans="5:7" x14ac:dyDescent="0.25">
      <c r="E329" s="13"/>
      <c r="F329" s="3"/>
      <c r="G329" s="11"/>
    </row>
    <row r="330" spans="5:7" x14ac:dyDescent="0.25">
      <c r="E330" s="13"/>
      <c r="F330" s="3"/>
      <c r="G330" s="11"/>
    </row>
    <row r="331" spans="5:7" x14ac:dyDescent="0.25">
      <c r="E331" s="13"/>
      <c r="F331" s="3"/>
      <c r="G331" s="11"/>
    </row>
    <row r="332" spans="5:7" x14ac:dyDescent="0.25">
      <c r="E332" s="13"/>
      <c r="F332" s="3"/>
      <c r="G332" s="11"/>
    </row>
    <row r="333" spans="5:7" x14ac:dyDescent="0.25">
      <c r="E333" s="13"/>
      <c r="F333" s="3"/>
      <c r="G333" s="11"/>
    </row>
    <row r="334" spans="5:7" x14ac:dyDescent="0.25">
      <c r="E334" s="13"/>
      <c r="F334" s="3"/>
      <c r="G334" s="11"/>
    </row>
    <row r="335" spans="5:7" x14ac:dyDescent="0.25">
      <c r="E335" s="13"/>
      <c r="F335" s="3"/>
      <c r="G335" s="11"/>
    </row>
    <row r="336" spans="5:7" x14ac:dyDescent="0.25">
      <c r="E336" s="13"/>
      <c r="F336" s="3"/>
      <c r="G336" s="11"/>
    </row>
    <row r="337" spans="5:7" x14ac:dyDescent="0.25">
      <c r="E337" s="13"/>
      <c r="F337" s="3"/>
      <c r="G337" s="11"/>
    </row>
    <row r="338" spans="5:7" x14ac:dyDescent="0.25">
      <c r="E338" s="13"/>
      <c r="F338" s="3"/>
      <c r="G338" s="11"/>
    </row>
    <row r="339" spans="5:7" x14ac:dyDescent="0.25">
      <c r="E339" s="13"/>
      <c r="F339" s="3"/>
      <c r="G339" s="11"/>
    </row>
    <row r="340" spans="5:7" x14ac:dyDescent="0.25">
      <c r="E340" s="13"/>
      <c r="F340" s="3"/>
      <c r="G340" s="11"/>
    </row>
    <row r="341" spans="5:7" x14ac:dyDescent="0.25">
      <c r="E341" s="13"/>
      <c r="F341" s="3"/>
      <c r="G341" s="11"/>
    </row>
    <row r="342" spans="5:7" x14ac:dyDescent="0.25">
      <c r="E342" s="13"/>
      <c r="F342" s="3"/>
      <c r="G342" s="11"/>
    </row>
    <row r="343" spans="5:7" x14ac:dyDescent="0.25">
      <c r="E343" s="13"/>
      <c r="F343" s="3"/>
      <c r="G343" s="11"/>
    </row>
    <row r="344" spans="5:7" x14ac:dyDescent="0.25">
      <c r="E344" s="13"/>
      <c r="F344" s="3"/>
      <c r="G344" s="11"/>
    </row>
    <row r="345" spans="5:7" x14ac:dyDescent="0.25">
      <c r="E345" s="13"/>
      <c r="F345" s="3"/>
      <c r="G345" s="11"/>
    </row>
    <row r="346" spans="5:7" x14ac:dyDescent="0.25">
      <c r="E346" s="13"/>
      <c r="F346" s="3"/>
      <c r="G346" s="11"/>
    </row>
    <row r="347" spans="5:7" x14ac:dyDescent="0.25">
      <c r="E347" s="13"/>
      <c r="F347" s="3"/>
      <c r="G347" s="11"/>
    </row>
    <row r="348" spans="5:7" x14ac:dyDescent="0.25">
      <c r="E348" s="13"/>
      <c r="F348" s="3"/>
      <c r="G348" s="11"/>
    </row>
    <row r="349" spans="5:7" x14ac:dyDescent="0.25">
      <c r="E349" s="13"/>
      <c r="F349" s="3"/>
      <c r="G349" s="11"/>
    </row>
    <row r="350" spans="5:7" x14ac:dyDescent="0.25">
      <c r="E350" s="13"/>
      <c r="F350" s="3"/>
      <c r="G350" s="11"/>
    </row>
    <row r="351" spans="5:7" x14ac:dyDescent="0.25">
      <c r="E351" s="13"/>
      <c r="F351" s="3"/>
      <c r="G351" s="11"/>
    </row>
    <row r="352" spans="5:7" x14ac:dyDescent="0.25">
      <c r="E352" s="13"/>
      <c r="F352" s="3"/>
      <c r="G352" s="11"/>
    </row>
    <row r="353" spans="5:7" x14ac:dyDescent="0.25">
      <c r="E353" s="13"/>
      <c r="F353" s="3"/>
      <c r="G353" s="11"/>
    </row>
    <row r="354" spans="5:7" x14ac:dyDescent="0.25">
      <c r="E354" s="13"/>
      <c r="F354" s="3"/>
      <c r="G354" s="11"/>
    </row>
    <row r="355" spans="5:7" x14ac:dyDescent="0.25">
      <c r="E355" s="13"/>
      <c r="F355" s="3"/>
      <c r="G355" s="11"/>
    </row>
    <row r="356" spans="5:7" x14ac:dyDescent="0.25">
      <c r="E356" s="13"/>
      <c r="F356" s="3"/>
      <c r="G356" s="11"/>
    </row>
    <row r="357" spans="5:7" x14ac:dyDescent="0.25">
      <c r="E357" s="13"/>
      <c r="F357" s="3"/>
      <c r="G357" s="11"/>
    </row>
    <row r="358" spans="5:7" x14ac:dyDescent="0.25">
      <c r="E358" s="13"/>
      <c r="F358" s="3"/>
      <c r="G358" s="11"/>
    </row>
    <row r="359" spans="5:7" x14ac:dyDescent="0.25">
      <c r="E359" s="13"/>
      <c r="F359" s="3"/>
      <c r="G359" s="11"/>
    </row>
    <row r="360" spans="5:7" x14ac:dyDescent="0.25">
      <c r="E360" s="13"/>
      <c r="F360" s="3"/>
      <c r="G360" s="11"/>
    </row>
    <row r="361" spans="5:7" x14ac:dyDescent="0.25">
      <c r="E361" s="13"/>
      <c r="F361" s="3"/>
      <c r="G361" s="11"/>
    </row>
    <row r="362" spans="5:7" x14ac:dyDescent="0.25">
      <c r="E362" s="13"/>
      <c r="F362" s="3"/>
      <c r="G362" s="11"/>
    </row>
    <row r="363" spans="5:7" x14ac:dyDescent="0.25">
      <c r="E363" s="13"/>
      <c r="F363" s="3"/>
      <c r="G363" s="11"/>
    </row>
    <row r="364" spans="5:7" x14ac:dyDescent="0.25">
      <c r="E364" s="13"/>
      <c r="F364" s="3"/>
      <c r="G364" s="11"/>
    </row>
    <row r="365" spans="5:7" x14ac:dyDescent="0.25">
      <c r="E365" s="13"/>
      <c r="F365" s="3"/>
      <c r="G365" s="11"/>
    </row>
    <row r="366" spans="5:7" x14ac:dyDescent="0.25">
      <c r="E366" s="13"/>
      <c r="F366" s="3"/>
      <c r="G366" s="11"/>
    </row>
    <row r="367" spans="5:7" x14ac:dyDescent="0.25">
      <c r="E367" s="13"/>
      <c r="F367" s="3"/>
      <c r="G367" s="11"/>
    </row>
    <row r="368" spans="5:7" x14ac:dyDescent="0.25">
      <c r="E368" s="13"/>
      <c r="F368" s="3"/>
      <c r="G368" s="11"/>
    </row>
    <row r="369" spans="5:7" x14ac:dyDescent="0.25">
      <c r="E369" s="13"/>
      <c r="F369" s="3"/>
      <c r="G369" s="11"/>
    </row>
    <row r="370" spans="5:7" x14ac:dyDescent="0.25">
      <c r="E370" s="13"/>
      <c r="F370" s="3"/>
      <c r="G370" s="11"/>
    </row>
    <row r="371" spans="5:7" x14ac:dyDescent="0.25">
      <c r="E371" s="13"/>
      <c r="F371" s="3"/>
      <c r="G371" s="11"/>
    </row>
    <row r="372" spans="5:7" x14ac:dyDescent="0.25">
      <c r="E372" s="13"/>
      <c r="F372" s="3"/>
      <c r="G372" s="11"/>
    </row>
    <row r="373" spans="5:7" x14ac:dyDescent="0.25">
      <c r="E373" s="13"/>
      <c r="F373" s="3"/>
      <c r="G373" s="11"/>
    </row>
    <row r="374" spans="5:7" x14ac:dyDescent="0.25">
      <c r="E374" s="13"/>
      <c r="F374" s="3"/>
      <c r="G374" s="11"/>
    </row>
    <row r="375" spans="5:7" x14ac:dyDescent="0.25">
      <c r="E375" s="13"/>
      <c r="F375" s="3"/>
      <c r="G375" s="11"/>
    </row>
    <row r="376" spans="5:7" x14ac:dyDescent="0.25">
      <c r="E376" s="13"/>
      <c r="F376" s="3"/>
      <c r="G376" s="11"/>
    </row>
    <row r="377" spans="5:7" x14ac:dyDescent="0.25">
      <c r="E377" s="13"/>
      <c r="F377" s="3"/>
      <c r="G377" s="11"/>
    </row>
    <row r="378" spans="5:7" x14ac:dyDescent="0.25">
      <c r="E378" s="13"/>
      <c r="F378" s="3"/>
      <c r="G378" s="11"/>
    </row>
    <row r="379" spans="5:7" x14ac:dyDescent="0.25">
      <c r="E379" s="13"/>
      <c r="F379" s="3"/>
      <c r="G379" s="11"/>
    </row>
    <row r="380" spans="5:7" x14ac:dyDescent="0.25">
      <c r="E380" s="13"/>
      <c r="F380" s="3"/>
      <c r="G380" s="11"/>
    </row>
    <row r="381" spans="5:7" x14ac:dyDescent="0.25">
      <c r="E381" s="13"/>
      <c r="F381" s="3"/>
      <c r="G381" s="11"/>
    </row>
    <row r="382" spans="5:7" x14ac:dyDescent="0.25">
      <c r="E382" s="13"/>
      <c r="F382" s="3"/>
      <c r="G382" s="11"/>
    </row>
    <row r="383" spans="5:7" x14ac:dyDescent="0.25">
      <c r="E383" s="13"/>
      <c r="F383" s="3"/>
      <c r="G383" s="11"/>
    </row>
    <row r="384" spans="5:7" x14ac:dyDescent="0.25">
      <c r="E384" s="13"/>
      <c r="F384" s="3"/>
      <c r="G384" s="11"/>
    </row>
    <row r="385" spans="5:7" x14ac:dyDescent="0.25">
      <c r="E385" s="13"/>
      <c r="F385" s="3"/>
      <c r="G385" s="11"/>
    </row>
    <row r="386" spans="5:7" x14ac:dyDescent="0.25">
      <c r="E386" s="13"/>
      <c r="F386" s="3"/>
      <c r="G386" s="11"/>
    </row>
    <row r="387" spans="5:7" x14ac:dyDescent="0.25">
      <c r="E387" s="13"/>
      <c r="F387" s="3"/>
      <c r="G387" s="11"/>
    </row>
    <row r="388" spans="5:7" x14ac:dyDescent="0.25">
      <c r="E388" s="13"/>
      <c r="F388" s="3"/>
      <c r="G388" s="11"/>
    </row>
    <row r="389" spans="5:7" x14ac:dyDescent="0.25">
      <c r="E389" s="13"/>
      <c r="F389" s="3"/>
      <c r="G389" s="11"/>
    </row>
    <row r="390" spans="5:7" x14ac:dyDescent="0.25">
      <c r="E390" s="13"/>
      <c r="F390" s="3"/>
      <c r="G390" s="11"/>
    </row>
    <row r="391" spans="5:7" x14ac:dyDescent="0.25">
      <c r="E391" s="13"/>
      <c r="F391" s="3"/>
      <c r="G391" s="11"/>
    </row>
    <row r="392" spans="5:7" x14ac:dyDescent="0.25">
      <c r="E392" s="13"/>
      <c r="F392" s="3"/>
      <c r="G392" s="11"/>
    </row>
    <row r="393" spans="5:7" x14ac:dyDescent="0.25">
      <c r="E393" s="13"/>
      <c r="F393" s="3"/>
      <c r="G393" s="11"/>
    </row>
    <row r="394" spans="5:7" x14ac:dyDescent="0.25">
      <c r="E394" s="13"/>
      <c r="F394" s="3"/>
      <c r="G394" s="11"/>
    </row>
    <row r="395" spans="5:7" x14ac:dyDescent="0.25">
      <c r="E395" s="13"/>
      <c r="F395" s="3"/>
      <c r="G395" s="11"/>
    </row>
    <row r="396" spans="5:7" x14ac:dyDescent="0.25">
      <c r="E396" s="13"/>
      <c r="F396" s="3"/>
      <c r="G396" s="11"/>
    </row>
    <row r="397" spans="5:7" x14ac:dyDescent="0.25">
      <c r="E397" s="13"/>
      <c r="F397" s="3"/>
      <c r="G397" s="11"/>
    </row>
    <row r="398" spans="5:7" x14ac:dyDescent="0.25">
      <c r="E398" s="13"/>
      <c r="F398" s="3"/>
      <c r="G398" s="11"/>
    </row>
    <row r="399" spans="5:7" x14ac:dyDescent="0.25">
      <c r="E399" s="13"/>
      <c r="F399" s="3"/>
      <c r="G399" s="11"/>
    </row>
    <row r="400" spans="5:7" x14ac:dyDescent="0.25">
      <c r="E400" s="13"/>
      <c r="F400" s="3"/>
      <c r="G400" s="11"/>
    </row>
    <row r="401" spans="5:7" x14ac:dyDescent="0.25">
      <c r="E401" s="13"/>
      <c r="F401" s="3"/>
      <c r="G401" s="11"/>
    </row>
    <row r="402" spans="5:7" x14ac:dyDescent="0.25">
      <c r="E402" s="13"/>
      <c r="F402" s="3"/>
      <c r="G402" s="11"/>
    </row>
    <row r="403" spans="5:7" x14ac:dyDescent="0.25">
      <c r="E403" s="13"/>
      <c r="F403" s="3"/>
      <c r="G403" s="11"/>
    </row>
    <row r="404" spans="5:7" x14ac:dyDescent="0.25">
      <c r="E404" s="13"/>
      <c r="F404" s="3"/>
      <c r="G404" s="11"/>
    </row>
    <row r="405" spans="5:7" x14ac:dyDescent="0.25">
      <c r="E405" s="13"/>
      <c r="F405" s="3"/>
      <c r="G405" s="11"/>
    </row>
    <row r="406" spans="5:7" x14ac:dyDescent="0.25">
      <c r="E406" s="13"/>
      <c r="F406" s="3"/>
      <c r="G406" s="11"/>
    </row>
    <row r="407" spans="5:7" x14ac:dyDescent="0.25">
      <c r="E407" s="13"/>
      <c r="F407" s="3"/>
      <c r="G407" s="11"/>
    </row>
    <row r="408" spans="5:7" x14ac:dyDescent="0.25">
      <c r="E408" s="13"/>
      <c r="F408" s="3"/>
      <c r="G408" s="11"/>
    </row>
    <row r="409" spans="5:7" x14ac:dyDescent="0.25">
      <c r="E409" s="13"/>
      <c r="F409" s="3"/>
      <c r="G409" s="11"/>
    </row>
    <row r="410" spans="5:7" x14ac:dyDescent="0.25">
      <c r="E410" s="13"/>
      <c r="F410" s="3"/>
      <c r="G410" s="11"/>
    </row>
    <row r="411" spans="5:7" x14ac:dyDescent="0.25">
      <c r="E411" s="13"/>
      <c r="F411" s="3"/>
      <c r="G411" s="11"/>
    </row>
    <row r="412" spans="5:7" x14ac:dyDescent="0.25">
      <c r="E412" s="13"/>
      <c r="F412" s="3"/>
      <c r="G412" s="11"/>
    </row>
    <row r="413" spans="5:7" x14ac:dyDescent="0.25">
      <c r="E413" s="13"/>
      <c r="F413" s="3"/>
      <c r="G413" s="11"/>
    </row>
    <row r="414" spans="5:7" x14ac:dyDescent="0.25">
      <c r="E414" s="13"/>
      <c r="F414" s="3"/>
      <c r="G414" s="11"/>
    </row>
    <row r="415" spans="5:7" x14ac:dyDescent="0.25">
      <c r="E415" s="13"/>
      <c r="F415" s="3"/>
      <c r="G415" s="11"/>
    </row>
    <row r="416" spans="5:7" x14ac:dyDescent="0.25">
      <c r="E416" s="13"/>
      <c r="F416" s="3"/>
      <c r="G416" s="11"/>
    </row>
    <row r="417" spans="5:7" x14ac:dyDescent="0.25">
      <c r="E417" s="13"/>
      <c r="F417" s="3"/>
      <c r="G417" s="11"/>
    </row>
    <row r="418" spans="5:7" x14ac:dyDescent="0.25">
      <c r="E418" s="13"/>
      <c r="F418" s="3"/>
      <c r="G418" s="11"/>
    </row>
    <row r="419" spans="5:7" x14ac:dyDescent="0.25">
      <c r="E419" s="13"/>
      <c r="F419" s="3"/>
      <c r="G419" s="11"/>
    </row>
    <row r="420" spans="5:7" x14ac:dyDescent="0.25">
      <c r="E420" s="13"/>
      <c r="F420" s="3"/>
      <c r="G420" s="11"/>
    </row>
    <row r="421" spans="5:7" x14ac:dyDescent="0.25">
      <c r="E421" s="13"/>
      <c r="F421" s="3"/>
      <c r="G421" s="11"/>
    </row>
    <row r="422" spans="5:7" x14ac:dyDescent="0.25">
      <c r="E422" s="13"/>
      <c r="F422" s="3"/>
      <c r="G422" s="11"/>
    </row>
    <row r="423" spans="5:7" x14ac:dyDescent="0.25">
      <c r="E423" s="13"/>
      <c r="F423" s="3"/>
      <c r="G423" s="11"/>
    </row>
    <row r="424" spans="5:7" x14ac:dyDescent="0.25">
      <c r="E424" s="13"/>
      <c r="F424" s="3"/>
      <c r="G424" s="11"/>
    </row>
    <row r="425" spans="5:7" x14ac:dyDescent="0.25">
      <c r="E425" s="13"/>
      <c r="F425" s="3"/>
      <c r="G425" s="11"/>
    </row>
    <row r="426" spans="5:7" x14ac:dyDescent="0.25">
      <c r="E426" s="13"/>
      <c r="F426" s="3"/>
      <c r="G426" s="11"/>
    </row>
    <row r="427" spans="5:7" x14ac:dyDescent="0.25">
      <c r="E427" s="13"/>
      <c r="F427" s="3"/>
      <c r="G427" s="11"/>
    </row>
    <row r="428" spans="5:7" x14ac:dyDescent="0.25">
      <c r="E428" s="13"/>
      <c r="F428" s="3"/>
      <c r="G428" s="11"/>
    </row>
    <row r="429" spans="5:7" x14ac:dyDescent="0.25">
      <c r="E429" s="13"/>
      <c r="F429" s="3"/>
      <c r="G429" s="11"/>
    </row>
    <row r="430" spans="5:7" x14ac:dyDescent="0.25">
      <c r="E430" s="13"/>
      <c r="F430" s="3"/>
      <c r="G430" s="11"/>
    </row>
    <row r="431" spans="5:7" x14ac:dyDescent="0.25">
      <c r="E431" s="13"/>
      <c r="F431" s="3"/>
      <c r="G431" s="11"/>
    </row>
    <row r="432" spans="5:7" x14ac:dyDescent="0.25">
      <c r="E432" s="13"/>
      <c r="F432" s="3"/>
      <c r="G432" s="11"/>
    </row>
    <row r="433" spans="5:7" x14ac:dyDescent="0.25">
      <c r="E433" s="13"/>
      <c r="F433" s="3"/>
      <c r="G433" s="11"/>
    </row>
    <row r="434" spans="5:7" x14ac:dyDescent="0.25">
      <c r="E434" s="13"/>
      <c r="F434" s="3"/>
      <c r="G434" s="11"/>
    </row>
    <row r="435" spans="5:7" x14ac:dyDescent="0.25">
      <c r="E435" s="13"/>
      <c r="F435" s="3"/>
      <c r="G435" s="11"/>
    </row>
    <row r="436" spans="5:7" x14ac:dyDescent="0.25">
      <c r="E436" s="13"/>
      <c r="F436" s="3"/>
      <c r="G436" s="11"/>
    </row>
    <row r="437" spans="5:7" x14ac:dyDescent="0.25">
      <c r="E437" s="13"/>
      <c r="F437" s="3"/>
      <c r="G437" s="11"/>
    </row>
    <row r="438" spans="5:7" x14ac:dyDescent="0.25">
      <c r="E438" s="13"/>
      <c r="F438" s="3"/>
      <c r="G438" s="11"/>
    </row>
    <row r="439" spans="5:7" x14ac:dyDescent="0.25">
      <c r="E439" s="13"/>
      <c r="F439" s="3"/>
      <c r="G439" s="11"/>
    </row>
    <row r="440" spans="5:7" x14ac:dyDescent="0.25">
      <c r="E440" s="13"/>
      <c r="F440" s="3"/>
      <c r="G440" s="11"/>
    </row>
    <row r="441" spans="5:7" x14ac:dyDescent="0.25">
      <c r="E441" s="13"/>
      <c r="F441" s="3"/>
      <c r="G441" s="11"/>
    </row>
    <row r="442" spans="5:7" x14ac:dyDescent="0.25">
      <c r="E442" s="13"/>
      <c r="F442" s="3"/>
      <c r="G442" s="11"/>
    </row>
    <row r="443" spans="5:7" x14ac:dyDescent="0.25">
      <c r="E443" s="13"/>
      <c r="F443" s="3"/>
      <c r="G443" s="11"/>
    </row>
    <row r="444" spans="5:7" x14ac:dyDescent="0.25">
      <c r="E444" s="13"/>
      <c r="F444" s="3"/>
      <c r="G444" s="11"/>
    </row>
    <row r="445" spans="5:7" x14ac:dyDescent="0.25">
      <c r="E445" s="13"/>
      <c r="F445" s="3"/>
      <c r="G445" s="11"/>
    </row>
    <row r="446" spans="5:7" x14ac:dyDescent="0.25">
      <c r="E446" s="13"/>
      <c r="F446" s="3"/>
      <c r="G446" s="11"/>
    </row>
    <row r="447" spans="5:7" x14ac:dyDescent="0.25">
      <c r="E447" s="13"/>
      <c r="F447" s="3"/>
      <c r="G447" s="11"/>
    </row>
    <row r="448" spans="5:7" x14ac:dyDescent="0.25">
      <c r="E448" s="13"/>
      <c r="F448" s="3"/>
      <c r="G448" s="11"/>
    </row>
    <row r="449" spans="5:7" x14ac:dyDescent="0.25">
      <c r="E449" s="13"/>
      <c r="F449" s="3"/>
      <c r="G449" s="11"/>
    </row>
    <row r="450" spans="5:7" x14ac:dyDescent="0.25">
      <c r="E450" s="13"/>
      <c r="F450" s="3"/>
      <c r="G450" s="11"/>
    </row>
    <row r="451" spans="5:7" x14ac:dyDescent="0.25">
      <c r="E451" s="13"/>
      <c r="F451" s="3"/>
      <c r="G451" s="11"/>
    </row>
    <row r="452" spans="5:7" x14ac:dyDescent="0.25">
      <c r="E452" s="13"/>
      <c r="F452" s="3"/>
      <c r="G452" s="11"/>
    </row>
    <row r="453" spans="5:7" x14ac:dyDescent="0.25">
      <c r="E453" s="13"/>
      <c r="F453" s="3"/>
      <c r="G453" s="11"/>
    </row>
    <row r="454" spans="5:7" x14ac:dyDescent="0.25">
      <c r="E454" s="13"/>
      <c r="F454" s="3"/>
      <c r="G454" s="11"/>
    </row>
    <row r="455" spans="5:7" x14ac:dyDescent="0.25">
      <c r="E455" s="13"/>
      <c r="F455" s="3"/>
      <c r="G455" s="11"/>
    </row>
    <row r="456" spans="5:7" x14ac:dyDescent="0.25">
      <c r="E456" s="13"/>
      <c r="F456" s="3"/>
      <c r="G456" s="11"/>
    </row>
    <row r="457" spans="5:7" x14ac:dyDescent="0.25">
      <c r="E457" s="13"/>
      <c r="F457" s="3"/>
      <c r="G457" s="11"/>
    </row>
    <row r="458" spans="5:7" x14ac:dyDescent="0.25">
      <c r="E458" s="13"/>
      <c r="F458" s="3"/>
      <c r="G458" s="11"/>
    </row>
    <row r="459" spans="5:7" x14ac:dyDescent="0.25">
      <c r="E459" s="13"/>
      <c r="F459" s="3"/>
      <c r="G459" s="11"/>
    </row>
    <row r="460" spans="5:7" x14ac:dyDescent="0.25">
      <c r="E460" s="13"/>
      <c r="F460" s="3"/>
      <c r="G460" s="11"/>
    </row>
    <row r="461" spans="5:7" x14ac:dyDescent="0.25">
      <c r="E461" s="13"/>
      <c r="F461" s="3"/>
      <c r="G461" s="11"/>
    </row>
    <row r="462" spans="5:7" x14ac:dyDescent="0.25">
      <c r="E462" s="13"/>
      <c r="F462" s="3"/>
      <c r="G462" s="11"/>
    </row>
    <row r="463" spans="5:7" x14ac:dyDescent="0.25">
      <c r="E463" s="13"/>
      <c r="F463" s="3"/>
      <c r="G463" s="11"/>
    </row>
    <row r="464" spans="5:7" x14ac:dyDescent="0.25">
      <c r="E464" s="13"/>
      <c r="F464" s="3"/>
      <c r="G464" s="11"/>
    </row>
    <row r="465" spans="5:7" x14ac:dyDescent="0.25">
      <c r="E465" s="13"/>
      <c r="F465" s="3"/>
      <c r="G465" s="11"/>
    </row>
    <row r="466" spans="5:7" x14ac:dyDescent="0.25">
      <c r="E466" s="13"/>
      <c r="F466" s="3"/>
      <c r="G466" s="11"/>
    </row>
    <row r="467" spans="5:7" x14ac:dyDescent="0.25">
      <c r="E467" s="13"/>
      <c r="F467" s="3"/>
      <c r="G467" s="11"/>
    </row>
    <row r="468" spans="5:7" x14ac:dyDescent="0.25">
      <c r="E468" s="13"/>
      <c r="F468" s="3"/>
      <c r="G468" s="11"/>
    </row>
    <row r="469" spans="5:7" x14ac:dyDescent="0.25">
      <c r="E469" s="13"/>
      <c r="F469" s="3"/>
      <c r="G469" s="11"/>
    </row>
    <row r="470" spans="5:7" x14ac:dyDescent="0.25">
      <c r="E470" s="13"/>
      <c r="F470" s="3"/>
      <c r="G470" s="11"/>
    </row>
    <row r="471" spans="5:7" x14ac:dyDescent="0.25">
      <c r="E471" s="13"/>
      <c r="F471" s="3"/>
      <c r="G471" s="11"/>
    </row>
    <row r="472" spans="5:7" x14ac:dyDescent="0.25">
      <c r="E472" s="13"/>
      <c r="F472" s="3"/>
      <c r="G472" s="11"/>
    </row>
    <row r="473" spans="5:7" x14ac:dyDescent="0.25">
      <c r="E473" s="13"/>
      <c r="F473" s="3"/>
      <c r="G473" s="11"/>
    </row>
    <row r="474" spans="5:7" x14ac:dyDescent="0.25">
      <c r="E474" s="13"/>
      <c r="F474" s="3"/>
      <c r="G474" s="11"/>
    </row>
    <row r="475" spans="5:7" x14ac:dyDescent="0.25">
      <c r="E475" s="13"/>
      <c r="F475" s="3"/>
      <c r="G475" s="11"/>
    </row>
    <row r="476" spans="5:7" x14ac:dyDescent="0.25">
      <c r="E476" s="13"/>
      <c r="F476" s="3"/>
      <c r="G476" s="11"/>
    </row>
    <row r="477" spans="5:7" x14ac:dyDescent="0.25">
      <c r="E477" s="13"/>
      <c r="F477" s="3"/>
      <c r="G477" s="11"/>
    </row>
    <row r="478" spans="5:7" x14ac:dyDescent="0.25">
      <c r="E478" s="13"/>
      <c r="F478" s="3"/>
      <c r="G478" s="11"/>
    </row>
    <row r="479" spans="5:7" x14ac:dyDescent="0.25">
      <c r="E479" s="13"/>
      <c r="F479" s="3"/>
      <c r="G479" s="11"/>
    </row>
    <row r="480" spans="5:7" x14ac:dyDescent="0.25">
      <c r="E480" s="13"/>
      <c r="F480" s="3"/>
      <c r="G480" s="11"/>
    </row>
    <row r="481" spans="5:7" x14ac:dyDescent="0.25">
      <c r="E481" s="13"/>
      <c r="F481" s="3"/>
      <c r="G481" s="11"/>
    </row>
    <row r="482" spans="5:7" x14ac:dyDescent="0.25">
      <c r="E482" s="13"/>
      <c r="F482" s="3"/>
      <c r="G482" s="11"/>
    </row>
    <row r="483" spans="5:7" x14ac:dyDescent="0.25">
      <c r="E483" s="13"/>
      <c r="F483" s="3"/>
      <c r="G483" s="11"/>
    </row>
    <row r="484" spans="5:7" x14ac:dyDescent="0.25">
      <c r="E484" s="13"/>
      <c r="F484" s="3"/>
      <c r="G484" s="11"/>
    </row>
    <row r="485" spans="5:7" x14ac:dyDescent="0.25">
      <c r="E485" s="13"/>
      <c r="F485" s="3"/>
      <c r="G485" s="11"/>
    </row>
    <row r="486" spans="5:7" x14ac:dyDescent="0.25">
      <c r="E486" s="13"/>
      <c r="F486" s="3"/>
      <c r="G486" s="11"/>
    </row>
    <row r="487" spans="5:7" x14ac:dyDescent="0.25">
      <c r="E487" s="13"/>
      <c r="F487" s="3"/>
      <c r="G487" s="11"/>
    </row>
    <row r="488" spans="5:7" x14ac:dyDescent="0.25">
      <c r="E488" s="13"/>
      <c r="F488" s="3"/>
      <c r="G488" s="11"/>
    </row>
    <row r="489" spans="5:7" x14ac:dyDescent="0.25">
      <c r="E489" s="13"/>
      <c r="F489" s="3"/>
      <c r="G489" s="11"/>
    </row>
    <row r="490" spans="5:7" x14ac:dyDescent="0.25">
      <c r="E490" s="13"/>
      <c r="F490" s="3"/>
      <c r="G490" s="11"/>
    </row>
    <row r="491" spans="5:7" x14ac:dyDescent="0.25">
      <c r="E491" s="13"/>
      <c r="F491" s="3"/>
      <c r="G491" s="11"/>
    </row>
    <row r="492" spans="5:7" x14ac:dyDescent="0.25">
      <c r="E492" s="13"/>
      <c r="F492" s="3"/>
      <c r="G492" s="11"/>
    </row>
    <row r="493" spans="5:7" x14ac:dyDescent="0.25">
      <c r="E493" s="13"/>
      <c r="F493" s="3"/>
      <c r="G493" s="11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9"/>
  <sheetViews>
    <sheetView workbookViewId="0">
      <selection activeCell="B2" sqref="B2:D2"/>
    </sheetView>
  </sheetViews>
  <sheetFormatPr defaultColWidth="9.140625" defaultRowHeight="18.75" x14ac:dyDescent="0.3"/>
  <cols>
    <col min="1" max="1" width="9.140625" style="23"/>
    <col min="2" max="2" width="24.7109375" style="23" bestFit="1" customWidth="1"/>
    <col min="3" max="3" width="23.28515625" style="23" bestFit="1" customWidth="1"/>
    <col min="4" max="4" width="12.85546875" style="23" bestFit="1" customWidth="1"/>
    <col min="5" max="5" width="18.5703125" style="23" bestFit="1" customWidth="1"/>
    <col min="6" max="7" width="9.140625" style="23"/>
    <col min="8" max="8" width="13.7109375" style="23" customWidth="1"/>
    <col min="9" max="9" width="25.85546875" style="23" customWidth="1"/>
    <col min="10" max="16384" width="9.140625" style="23"/>
  </cols>
  <sheetData>
    <row r="2" spans="2:9" ht="21" x14ac:dyDescent="0.35">
      <c r="B2" s="107" t="s">
        <v>43</v>
      </c>
      <c r="C2" s="107"/>
      <c r="D2" s="107"/>
      <c r="H2" s="33"/>
      <c r="I2" s="35"/>
    </row>
    <row r="3" spans="2:9" x14ac:dyDescent="0.3">
      <c r="B3" s="108" t="s">
        <v>36</v>
      </c>
      <c r="C3" s="109"/>
      <c r="D3" s="110"/>
      <c r="H3" s="50"/>
      <c r="I3" s="35"/>
    </row>
    <row r="4" spans="2:9" x14ac:dyDescent="0.3">
      <c r="B4" s="24" t="s">
        <v>18</v>
      </c>
      <c r="C4" s="25">
        <v>350</v>
      </c>
      <c r="D4" s="26" t="s">
        <v>19</v>
      </c>
      <c r="H4" s="33"/>
      <c r="I4" s="36"/>
    </row>
    <row r="5" spans="2:9" x14ac:dyDescent="0.3">
      <c r="B5" s="24" t="s">
        <v>20</v>
      </c>
      <c r="C5" s="27">
        <v>500000</v>
      </c>
      <c r="D5" s="26" t="s">
        <v>21</v>
      </c>
      <c r="H5" s="33"/>
      <c r="I5" s="36"/>
    </row>
    <row r="6" spans="2:9" x14ac:dyDescent="0.3">
      <c r="B6" s="24" t="s">
        <v>22</v>
      </c>
      <c r="C6" s="28">
        <v>2800000</v>
      </c>
      <c r="D6" s="26" t="s">
        <v>23</v>
      </c>
      <c r="H6" s="33"/>
      <c r="I6" s="36"/>
    </row>
    <row r="7" spans="2:9" x14ac:dyDescent="0.3">
      <c r="B7" s="24" t="s">
        <v>24</v>
      </c>
      <c r="C7" s="27">
        <v>30</v>
      </c>
      <c r="D7" s="26" t="s">
        <v>25</v>
      </c>
      <c r="H7" s="33"/>
      <c r="I7" s="36"/>
    </row>
    <row r="8" spans="2:9" x14ac:dyDescent="0.3">
      <c r="B8" s="24" t="s">
        <v>26</v>
      </c>
      <c r="C8" s="27">
        <v>4</v>
      </c>
      <c r="D8" s="26" t="s">
        <v>25</v>
      </c>
      <c r="H8" s="50"/>
      <c r="I8" s="36"/>
    </row>
    <row r="9" spans="2:9" x14ac:dyDescent="0.3">
      <c r="B9" s="24" t="s">
        <v>27</v>
      </c>
      <c r="C9" s="27">
        <v>1000000</v>
      </c>
      <c r="D9" s="26" t="s">
        <v>28</v>
      </c>
      <c r="H9" s="50"/>
      <c r="I9" s="36"/>
    </row>
    <row r="10" spans="2:9" x14ac:dyDescent="0.3">
      <c r="B10" s="24" t="s">
        <v>29</v>
      </c>
      <c r="C10" s="29">
        <v>500000000</v>
      </c>
      <c r="D10" s="26" t="s">
        <v>30</v>
      </c>
      <c r="H10" s="50"/>
      <c r="I10" s="36"/>
    </row>
    <row r="11" spans="2:9" x14ac:dyDescent="0.3">
      <c r="B11" s="24" t="s">
        <v>34</v>
      </c>
      <c r="C11" s="27">
        <v>0.06</v>
      </c>
      <c r="D11" s="26" t="s">
        <v>31</v>
      </c>
      <c r="H11" s="50"/>
      <c r="I11" s="36"/>
    </row>
    <row r="12" spans="2:9" x14ac:dyDescent="0.3">
      <c r="B12" s="24" t="s">
        <v>35</v>
      </c>
      <c r="C12" s="27">
        <v>35000000</v>
      </c>
      <c r="D12" s="26"/>
      <c r="H12" s="50"/>
      <c r="I12" s="36"/>
    </row>
    <row r="13" spans="2:9" x14ac:dyDescent="0.3">
      <c r="B13" s="24" t="s">
        <v>32</v>
      </c>
      <c r="C13" s="25">
        <v>20</v>
      </c>
      <c r="D13" s="26" t="s">
        <v>33</v>
      </c>
      <c r="H13" s="50"/>
      <c r="I13" s="36"/>
    </row>
    <row r="14" spans="2:9" x14ac:dyDescent="0.3">
      <c r="B14" s="24" t="s">
        <v>4</v>
      </c>
      <c r="C14" s="32">
        <v>0.15</v>
      </c>
      <c r="D14" s="26" t="s">
        <v>5</v>
      </c>
      <c r="H14" s="50"/>
      <c r="I14" s="36"/>
    </row>
    <row r="15" spans="2:9" x14ac:dyDescent="0.3">
      <c r="H15" s="50"/>
      <c r="I15" s="36"/>
    </row>
    <row r="16" spans="2:9" x14ac:dyDescent="0.3">
      <c r="B16" s="23" t="s">
        <v>37</v>
      </c>
      <c r="H16" s="50"/>
      <c r="I16" s="36"/>
    </row>
    <row r="17" spans="2:9" x14ac:dyDescent="0.3">
      <c r="B17" s="23" t="s">
        <v>38</v>
      </c>
      <c r="C17" s="37"/>
      <c r="E17" s="37"/>
      <c r="H17" s="50"/>
      <c r="I17" s="36"/>
    </row>
    <row r="18" spans="2:9" x14ac:dyDescent="0.3">
      <c r="B18" s="23" t="s">
        <v>39</v>
      </c>
      <c r="E18" s="37"/>
      <c r="H18" s="50"/>
      <c r="I18" s="36"/>
    </row>
    <row r="19" spans="2:9" x14ac:dyDescent="0.3">
      <c r="B19" s="23" t="s">
        <v>40</v>
      </c>
      <c r="C19" s="53"/>
      <c r="H19" s="50"/>
      <c r="I19" s="36"/>
    </row>
    <row r="20" spans="2:9" x14ac:dyDescent="0.3">
      <c r="B20" s="23" t="s">
        <v>41</v>
      </c>
      <c r="H20" s="50"/>
      <c r="I20" s="36"/>
    </row>
    <row r="21" spans="2:9" x14ac:dyDescent="0.3">
      <c r="H21" s="50"/>
      <c r="I21" s="36"/>
    </row>
    <row r="22" spans="2:9" x14ac:dyDescent="0.3">
      <c r="H22" s="50"/>
      <c r="I22" s="36"/>
    </row>
    <row r="23" spans="2:9" x14ac:dyDescent="0.3">
      <c r="H23" s="50"/>
      <c r="I23" s="36"/>
    </row>
    <row r="24" spans="2:9" x14ac:dyDescent="0.3">
      <c r="H24" s="50"/>
      <c r="I24" s="36"/>
    </row>
    <row r="25" spans="2:9" x14ac:dyDescent="0.3">
      <c r="I25" s="37"/>
    </row>
    <row r="26" spans="2:9" x14ac:dyDescent="0.3">
      <c r="I26" s="31"/>
    </row>
    <row r="27" spans="2:9" x14ac:dyDescent="0.3">
      <c r="I27" s="30"/>
    </row>
    <row r="28" spans="2:9" x14ac:dyDescent="0.3">
      <c r="I28" s="30"/>
    </row>
    <row r="29" spans="2:9" x14ac:dyDescent="0.3">
      <c r="I29" s="38"/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VPL Túnel</vt:lpstr>
      <vt:lpstr>EXIII.6</vt:lpstr>
      <vt:lpstr>PB</vt:lpstr>
      <vt:lpstr>VPL</vt:lpstr>
      <vt:lpstr>VA</vt:lpstr>
      <vt:lpstr>TIR</vt:lpstr>
      <vt:lpstr>TIR INCREMENTAL</vt:lpstr>
      <vt:lpstr>Gráfico</vt:lpstr>
      <vt:lpstr>Ex1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Rafael</cp:lastModifiedBy>
  <dcterms:created xsi:type="dcterms:W3CDTF">2016-04-08T00:16:23Z</dcterms:created>
  <dcterms:modified xsi:type="dcterms:W3CDTF">2020-04-20T12:01:13Z</dcterms:modified>
</cp:coreProperties>
</file>